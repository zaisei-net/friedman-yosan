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国税19税目" sheetId="1" state="visible" r:id="rId3"/>
    <sheet name="特別会計直入・地方法人税等" sheetId="2" state="visible" r:id="rId4"/>
    <sheet name="社会保険料・その他公課" sheetId="3" state="visible" r:id="rId5"/>
    <sheet name="法定公課70件" sheetId="4" state="visible" r:id="rId6"/>
    <sheet name="補足・検証ログ"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<sst xmlns="http://schemas.openxmlformats.org/spreadsheetml/2006/main" count="672" uniqueCount="471">
  <si>
    <t xml:space="preserve">順位</t>
  </si>
  <si>
    <t xml:space="preserve">税目</t>
  </si>
  <si>
    <t xml:space="preserve">区分</t>
  </si>
  <si>
    <t xml:space="preserve">令和7年度当初(億円)</t>
  </si>
  <si>
    <t xml:space="preserve">令和7年度補正後(億円)</t>
  </si>
  <si>
    <t xml:space="preserve">令和8年度予算額(億円)</t>
  </si>
  <si>
    <t xml:space="preserve">対前年度増減(対当初)</t>
  </si>
  <si>
    <t xml:space="preserve">対前年度増減(対補正後)</t>
  </si>
  <si>
    <t xml:space="preserve">全体構成比</t>
  </si>
  <si>
    <t xml:space="preserve">定率/累進/従量の別</t>
  </si>
  <si>
    <t xml:space="preserve">半減方式（一次分類）</t>
  </si>
  <si>
    <t xml:space="preserve">源泉所得税</t>
  </si>
  <si>
    <t xml:space="preserve">所得税</t>
  </si>
  <si>
    <t xml:space="preserve">累進</t>
  </si>
  <si>
    <t xml:space="preserve">所得税モデルに統合（試算済）</t>
  </si>
  <si>
    <t xml:space="preserve">申告所得税</t>
  </si>
  <si>
    <t xml:space="preserve">防衛特別所得税</t>
  </si>
  <si>
    <t xml:space="preserve">所得税付加税</t>
  </si>
  <si>
    <t xml:space="preserve">定率(付加税)</t>
  </si>
  <si>
    <t xml:space="preserve">本体に連動・税率半減で機械処理</t>
  </si>
  <si>
    <t xml:space="preserve">法人税</t>
  </si>
  <si>
    <t xml:space="preserve">定率(段階あり)</t>
  </si>
  <si>
    <t xml:space="preserve">試算済（実効18.30%）</t>
  </si>
  <si>
    <t xml:space="preserve">防衛特別法人税</t>
  </si>
  <si>
    <t xml:space="preserve">法人税付加税</t>
  </si>
  <si>
    <t xml:space="preserve">相続税</t>
  </si>
  <si>
    <t xml:space="preserve">資産課税</t>
  </si>
  <si>
    <t xml:space="preserve">所得税と同型（均一控除＋フラット）で個別試算</t>
  </si>
  <si>
    <t xml:space="preserve">消費税</t>
  </si>
  <si>
    <t xml:space="preserve">消費課税</t>
  </si>
  <si>
    <t xml:space="preserve">定率</t>
  </si>
  <si>
    <t xml:space="preserve">税率(10%/8%)を機械的に半減</t>
  </si>
  <si>
    <t xml:space="preserve">酒税</t>
  </si>
  <si>
    <t xml:space="preserve">消費課税(従量)</t>
  </si>
  <si>
    <t xml:space="preserve">従量</t>
  </si>
  <si>
    <t xml:space="preserve">従量税率を機械的に半減</t>
  </si>
  <si>
    <t xml:space="preserve">たばこ税</t>
  </si>
  <si>
    <t xml:space="preserve">揮発油税</t>
  </si>
  <si>
    <t xml:space="preserve">石油ガス税</t>
  </si>
  <si>
    <t xml:space="preserve">航空機燃料税</t>
  </si>
  <si>
    <t xml:space="preserve">石油石炭税</t>
  </si>
  <si>
    <t xml:space="preserve">電源開発促進税</t>
  </si>
  <si>
    <t xml:space="preserve">自動車重量税</t>
  </si>
  <si>
    <t xml:space="preserve">国際観光旅客税</t>
  </si>
  <si>
    <t xml:space="preserve">消費課税(定額)</t>
  </si>
  <si>
    <t xml:space="preserve">定額</t>
  </si>
  <si>
    <t xml:space="preserve">定額を機械的に半減</t>
  </si>
  <si>
    <t xml:space="preserve">関税</t>
  </si>
  <si>
    <t xml:space="preserve">消費課税(税率複数)</t>
  </si>
  <si>
    <t xml:space="preserve">品目別税率</t>
  </si>
  <si>
    <t xml:space="preserve">品目別のため一律半減か要検討</t>
  </si>
  <si>
    <t xml:space="preserve">とん税</t>
  </si>
  <si>
    <t xml:space="preserve">印紙収入</t>
  </si>
  <si>
    <t xml:space="preserve">流通課税</t>
  </si>
  <si>
    <t xml:space="preserve">階級別定額</t>
  </si>
  <si>
    <t xml:space="preserve">階級別税額表を機械的に半減</t>
  </si>
  <si>
    <t xml:space="preserve">一般会計分計（主要19税目合計）</t>
  </si>
  <si>
    <t xml:space="preserve">財務省公表「一般会計分計」（参考・公式値）</t>
  </si>
  <si>
    <t xml:space="preserve">本表合計との差（端数調整等）</t>
  </si>
  <si>
    <t xml:space="preserve">出典：財務省「令和8年度租税及び印紙収入予算」（令和7年12月26日閣議決定）</t>
  </si>
  <si>
    <t xml:space="preserve">https://www.mof.go.jp/tax_policy/summary/condition/sozeiinshi.pdf</t>
  </si>
  <si>
    <t xml:space="preserve">単位は億円。源泉所得税・申告所得税・法人税は別途精密モデルで試算済み（model_final.py）。</t>
  </si>
  <si>
    <t xml:space="preserve">項目</t>
  </si>
  <si>
    <t xml:space="preserve">予算書ベース(億円)</t>
  </si>
  <si>
    <t xml:space="preserve">地財計画ベース(億円)</t>
  </si>
  <si>
    <t xml:space="preserve">差</t>
  </si>
  <si>
    <t xml:space="preserve">原資となる国税</t>
  </si>
  <si>
    <t xml:space="preserve">出典</t>
  </si>
  <si>
    <t xml:space="preserve">【重要】地方財政計画は地方交付税法第7条に基づき内閣が国会に提出する見込み資料であり、国会の議決を経る「予算」とは法的性格が異なる。両者の数値は一致しない場合がある（本シートで実際に差異を確認）。以下、予算書ベース（議決対象）を主、地財計画ベースを参考として併記する。</t>
  </si>
  <si>
    <t xml:space="preserve">【参考】電源開発促進税（19税目シートに計上済み）</t>
  </si>
  <si>
    <t xml:space="preserve">エネルギー対策特別会計へ全額繰入</t>
  </si>
  <si>
    <t xml:space="preserve">財務省「特別会計について」(R8予算)</t>
  </si>
  <si>
    <t xml:space="preserve">【参考】石油石炭税のうち特定財源繰入分（19税目シートに計上済み）</t>
  </si>
  <si>
    <t xml:space="preserve">エネルギー対策特別会計へ繰入</t>
  </si>
  <si>
    <t xml:space="preserve">■ 地方法人税（19税目シートに非掲載・予算書款0207で確認）</t>
  </si>
  <si>
    <t xml:space="preserve">地方法人税</t>
  </si>
  <si>
    <t xml:space="preserve">国税単体（法人税額×10.3%）</t>
  </si>
  <si>
    <t xml:space="preserve">内閣府「令和8年度交付税及び譲与税配付金特別会計歳入歳出予定額各目明細書」款0207</t>
  </si>
  <si>
    <t xml:space="preserve">■ 地方譲与税7税目（予算書ベース・地財計画ベース両方を掲載）</t>
  </si>
  <si>
    <t xml:space="preserve">地方揮発油譲与税</t>
  </si>
  <si>
    <t xml:space="preserve">地方揮発油税（収入額の全額）</t>
  </si>
  <si>
    <t xml:space="preserve">予算書:内閣府各目明細書款0200番台／地財計画:総務省事務連絡(R8.1.21)</t>
  </si>
  <si>
    <t xml:space="preserve">石油ガス譲与税</t>
  </si>
  <si>
    <t xml:space="preserve">石油ガス税（収入額の1/2）</t>
  </si>
  <si>
    <t xml:space="preserve">自動車重量譲与税</t>
  </si>
  <si>
    <t xml:space="preserve">自動車重量税（収入額の357/1,000、当分の間431/1,000）</t>
  </si>
  <si>
    <t xml:space="preserve">航空機燃料譲与税</t>
  </si>
  <si>
    <t xml:space="preserve">航空機燃料税（収入額の4/15）</t>
  </si>
  <si>
    <t xml:space="preserve">特別とん譲与税</t>
  </si>
  <si>
    <t xml:space="preserve">特別とん税（収入額の全額）</t>
  </si>
  <si>
    <t xml:space="preserve">森林環境譲与税</t>
  </si>
  <si>
    <t xml:space="preserve">森林環境税（個人住民税均等割と併せ1人年額1,000円を市区町村が賦課徴収）</t>
  </si>
  <si>
    <t xml:space="preserve">特別法人事業譲与税</t>
  </si>
  <si>
    <t xml:space="preserve">特別法人事業税（収入額の全額、旧地方法人特別税分を含む）</t>
  </si>
  <si>
    <t xml:space="preserve">地方譲与税 小計（7税目合計）</t>
  </si>
  <si>
    <t xml:space="preserve">一般会計19税目合計（参考：国税19税目シートより）</t>
  </si>
  <si>
    <t xml:space="preserve">＋地方法人税（予算書ベース）</t>
  </si>
  <si>
    <t xml:space="preserve">＋地方譲与税7税目合計（予算書ベース）</t>
  </si>
  <si>
    <t xml:space="preserve">国税合計（一般会計19税目＋地方法人税＋地方譲与税、予算書ベース）</t>
  </si>
  <si>
    <t xml:space="preserve">【出典・確認方法】予算書ベースの値は、内閣府「令和8年度内閣府、総務省及び財務省所管 交付税及び譲与税配付金特別会計歳入歳出予定額各目明細書」</t>
  </si>
  <si>
    <t xml:space="preserve">（https://www.cao.go.jp/yosan/soshiki/r08/r8kouhuzei_tousyo.pdf）の款項目コード（0201〜0209、款0200=地方譲与税計）を、金額の突合により税目同定した。</t>
  </si>
  <si>
    <t xml:space="preserve">款0200（地方譲与税）の合計表示額56,477百万円単位の値と、款0207単独（地方法人税）24,499百万円単位の値が、</t>
  </si>
  <si>
    <t xml:space="preserve">それぞれ総務省地財計画の対応値と一致したことから、残り6税目の対応関係を金額突合で特定した。</t>
  </si>
  <si>
    <t xml:space="preserve">【判明した事実】地財計画ベース合計31,932億円と予算書ベース合計31,978億円で46億円の差がある。</t>
  </si>
  <si>
    <t xml:space="preserve">個別には地方揮発油譲与税(-20億円)、自動車重量譲与税(+17億円)、特別法人事業譲与税(+49億円)で差異。</t>
  </si>
  <si>
    <t xml:space="preserve">地財計画は地方交付税法第7条に基づく内閣の国会提出資料（見込み）であり、国会の議決対象である予算書とは法的性格が異なるため、</t>
  </si>
  <si>
    <t xml:space="preserve">策定後の精査・組替えにより数値差が生じうる。本シートでは議決対象である予算書ベースを正式値として採用する。</t>
  </si>
  <si>
    <r>
      <rPr>
        <b val="true"/>
        <sz val="12"/>
        <color rgb="FFFFFFFF"/>
        <rFont val="Noto Sans CJK SC"/>
        <family val="2"/>
      </rPr>
      <t xml:space="preserve">【社会保険料】令和</t>
    </r>
    <r>
      <rPr>
        <b val="true"/>
        <sz val="12"/>
        <color rgb="FFFFFFFF"/>
        <rFont val="游ゴシック"/>
        <family val="0"/>
        <charset val="1"/>
      </rPr>
      <t xml:space="preserve">8</t>
    </r>
    <r>
      <rPr>
        <b val="true"/>
        <sz val="12"/>
        <color rgb="FFFFFFFF"/>
        <rFont val="Noto Sans CJK SC"/>
        <family val="2"/>
      </rPr>
      <t xml:space="preserve">年度予算額</t>
    </r>
  </si>
  <si>
    <r>
      <rPr>
        <sz val="10"/>
        <rFont val="Noto Sans CJK SC"/>
        <family val="2"/>
      </rPr>
      <t xml:space="preserve">【重要】社会保険料は「税」ではなく、給付と拠出が対応する社会保険の仕組みである。ガミシさんの問題意識（リバタリアン的減税）の対象に含めるかは別途の論点だが、ここでは「国の予算に計上されている公課」として依頼に基づき機械的に集計する。本シートの値は特別会計の各目明細書に基づく令和</t>
    </r>
    <r>
      <rPr>
        <sz val="10"/>
        <rFont val="游ゴシック"/>
        <family val="0"/>
        <charset val="1"/>
      </rPr>
      <t xml:space="preserve">8</t>
    </r>
    <r>
      <rPr>
        <sz val="10"/>
        <rFont val="Noto Sans CJK SC"/>
        <family val="2"/>
      </rPr>
      <t xml:space="preserve">年度予算額（百万円単位を億円に換算、四捨五入）。</t>
    </r>
  </si>
  <si>
    <t xml:space="preserve">厚生年金保険</t>
  </si>
  <si>
    <t xml:space="preserve">厚生年金勘定</t>
  </si>
  <si>
    <r>
      <rPr>
        <sz val="10"/>
        <rFont val="游ゴシック"/>
        <family val="0"/>
        <charset val="1"/>
      </rPr>
      <t xml:space="preserve">18.300%(</t>
    </r>
    <r>
      <rPr>
        <sz val="10"/>
        <rFont val="Noto Sans CJK SC"/>
        <family val="2"/>
      </rPr>
      <t xml:space="preserve">労使折半</t>
    </r>
    <r>
      <rPr>
        <sz val="10"/>
        <rFont val="游ゴシック"/>
        <family val="0"/>
        <charset val="1"/>
      </rPr>
      <t xml:space="preserve">)</t>
    </r>
  </si>
  <si>
    <r>
      <rPr>
        <sz val="10"/>
        <rFont val="Noto Sans CJK SC"/>
        <family val="2"/>
      </rPr>
      <t xml:space="preserve">被用者の年金保険料。標準報酬月額</t>
    </r>
    <r>
      <rPr>
        <sz val="10"/>
        <rFont val="游ゴシック"/>
        <family val="0"/>
        <charset val="1"/>
      </rPr>
      <t xml:space="preserve">×</t>
    </r>
    <r>
      <rPr>
        <sz val="10"/>
        <rFont val="Noto Sans CJK SC"/>
        <family val="2"/>
      </rPr>
      <t xml:space="preserve">料率</t>
    </r>
  </si>
  <si>
    <r>
      <rPr>
        <sz val="10"/>
        <rFont val="Noto Sans CJK SC"/>
        <family val="2"/>
      </rPr>
      <t xml:space="preserve">厚生労働省 令和</t>
    </r>
    <r>
      <rPr>
        <sz val="10"/>
        <rFont val="游ゴシック"/>
        <family val="0"/>
        <charset val="1"/>
      </rPr>
      <t xml:space="preserve">8</t>
    </r>
    <r>
      <rPr>
        <sz val="10"/>
        <rFont val="Noto Sans CJK SC"/>
        <family val="2"/>
      </rPr>
      <t xml:space="preserve">年度予算（年金特別会計厚生年金勘定）</t>
    </r>
  </si>
  <si>
    <t xml:space="preserve">国民年金</t>
  </si>
  <si>
    <t xml:space="preserve">国民年金勘定</t>
  </si>
  <si>
    <r>
      <rPr>
        <sz val="10"/>
        <rFont val="Noto Sans CJK SC"/>
        <family val="2"/>
      </rPr>
      <t xml:space="preserve">定額 月</t>
    </r>
    <r>
      <rPr>
        <sz val="10"/>
        <rFont val="游ゴシック"/>
        <family val="0"/>
        <charset val="1"/>
      </rPr>
      <t xml:space="preserve">17,920</t>
    </r>
    <r>
      <rPr>
        <sz val="10"/>
        <rFont val="Noto Sans CJK SC"/>
        <family val="2"/>
      </rPr>
      <t xml:space="preserve">円</t>
    </r>
    <r>
      <rPr>
        <sz val="10"/>
        <rFont val="游ゴシック"/>
        <family val="0"/>
        <charset val="1"/>
      </rPr>
      <t xml:space="preserve">(R8)</t>
    </r>
  </si>
  <si>
    <r>
      <rPr>
        <sz val="10"/>
        <rFont val="Noto Sans CJK SC"/>
        <family val="2"/>
      </rPr>
      <t xml:space="preserve">自営業者等</t>
    </r>
    <r>
      <rPr>
        <sz val="10"/>
        <rFont val="游ゴシック"/>
        <family val="0"/>
        <charset val="1"/>
      </rPr>
      <t xml:space="preserve">(</t>
    </r>
    <r>
      <rPr>
        <sz val="10"/>
        <rFont val="Noto Sans CJK SC"/>
        <family val="2"/>
      </rPr>
      <t xml:space="preserve">第</t>
    </r>
    <r>
      <rPr>
        <sz val="10"/>
        <rFont val="游ゴシック"/>
        <family val="0"/>
        <charset val="1"/>
      </rPr>
      <t xml:space="preserve">1</t>
    </r>
    <r>
      <rPr>
        <sz val="10"/>
        <rFont val="Noto Sans CJK SC"/>
        <family val="2"/>
      </rPr>
      <t xml:space="preserve">号被保険者</t>
    </r>
    <r>
      <rPr>
        <sz val="10"/>
        <rFont val="游ゴシック"/>
        <family val="0"/>
        <charset val="1"/>
      </rPr>
      <t xml:space="preserve">)</t>
    </r>
    <r>
      <rPr>
        <sz val="10"/>
        <rFont val="Noto Sans CJK SC"/>
        <family val="2"/>
      </rPr>
      <t xml:space="preserve">の年金保険料</t>
    </r>
  </si>
  <si>
    <r>
      <rPr>
        <sz val="10"/>
        <rFont val="Noto Sans CJK SC"/>
        <family val="2"/>
      </rPr>
      <t xml:space="preserve">厚生労働省 令和</t>
    </r>
    <r>
      <rPr>
        <sz val="10"/>
        <rFont val="游ゴシック"/>
        <family val="0"/>
        <charset val="1"/>
      </rPr>
      <t xml:space="preserve">8</t>
    </r>
    <r>
      <rPr>
        <sz val="10"/>
        <rFont val="Noto Sans CJK SC"/>
        <family val="2"/>
      </rPr>
      <t xml:space="preserve">年度予算（年金特別会計国民年金勘定）</t>
    </r>
  </si>
  <si>
    <r>
      <rPr>
        <sz val="10"/>
        <rFont val="Noto Sans CJK SC"/>
        <family val="2"/>
      </rPr>
      <t xml:space="preserve">健康保険等</t>
    </r>
    <r>
      <rPr>
        <sz val="10"/>
        <rFont val="游ゴシック"/>
        <family val="0"/>
        <charset val="1"/>
      </rPr>
      <t xml:space="preserve">(</t>
    </r>
    <r>
      <rPr>
        <sz val="10"/>
        <rFont val="Noto Sans CJK SC"/>
        <family val="2"/>
      </rPr>
      <t xml:space="preserve">国庫負担対象分</t>
    </r>
    <r>
      <rPr>
        <sz val="10"/>
        <rFont val="游ゴシック"/>
        <family val="0"/>
        <charset val="1"/>
      </rPr>
      <t xml:space="preserve">)</t>
    </r>
  </si>
  <si>
    <t xml:space="preserve">健康勘定</t>
  </si>
  <si>
    <t xml:space="preserve">協会けんぽ等の保険料率は別途都道府県別</t>
  </si>
  <si>
    <t xml:space="preserve">協会けんぽ・国保・後期高齢者医療への国庫負担金の原資側計上額。個別の保険料自体は各保険者が別途徴収</t>
  </si>
  <si>
    <r>
      <rPr>
        <sz val="10"/>
        <rFont val="Noto Sans CJK SC"/>
        <family val="2"/>
      </rPr>
      <t xml:space="preserve">厚生労働省 令和</t>
    </r>
    <r>
      <rPr>
        <sz val="10"/>
        <rFont val="游ゴシック"/>
        <family val="0"/>
        <charset val="1"/>
      </rPr>
      <t xml:space="preserve">8</t>
    </r>
    <r>
      <rPr>
        <sz val="10"/>
        <rFont val="Noto Sans CJK SC"/>
        <family val="2"/>
      </rPr>
      <t xml:space="preserve">年度予算（年金特別会計健康勘定）</t>
    </r>
  </si>
  <si>
    <t xml:space="preserve">労災保険</t>
  </si>
  <si>
    <t xml:space="preserve">労災勘定</t>
  </si>
  <si>
    <r>
      <rPr>
        <sz val="10"/>
        <rFont val="游ゴシック"/>
        <family val="0"/>
        <charset val="1"/>
      </rPr>
      <t xml:space="preserve">2.5/1,000</t>
    </r>
    <r>
      <rPr>
        <sz val="10"/>
        <rFont val="Noto Sans CJK SC"/>
        <family val="2"/>
      </rPr>
      <t xml:space="preserve">～</t>
    </r>
    <r>
      <rPr>
        <sz val="10"/>
        <rFont val="游ゴシック"/>
        <family val="0"/>
        <charset val="1"/>
      </rPr>
      <t xml:space="preserve">88/1,000(</t>
    </r>
    <r>
      <rPr>
        <sz val="10"/>
        <rFont val="Noto Sans CJK SC"/>
        <family val="2"/>
      </rPr>
      <t xml:space="preserve">業種別、事業主全額負担</t>
    </r>
    <r>
      <rPr>
        <sz val="10"/>
        <rFont val="游ゴシック"/>
        <family val="0"/>
        <charset val="1"/>
      </rPr>
      <t xml:space="preserve">)</t>
    </r>
  </si>
  <si>
    <t xml:space="preserve">業務災害に対する保険給付の財源</t>
  </si>
  <si>
    <r>
      <rPr>
        <sz val="10"/>
        <rFont val="Noto Sans CJK SC"/>
        <family val="2"/>
      </rPr>
      <t xml:space="preserve">厚生労働省 令和</t>
    </r>
    <r>
      <rPr>
        <sz val="10"/>
        <rFont val="游ゴシック"/>
        <family val="0"/>
        <charset val="1"/>
      </rPr>
      <t xml:space="preserve">8</t>
    </r>
    <r>
      <rPr>
        <sz val="10"/>
        <rFont val="Noto Sans CJK SC"/>
        <family val="2"/>
      </rPr>
      <t xml:space="preserve">年度予算（労働保険特別会計労災勘定）</t>
    </r>
  </si>
  <si>
    <t xml:space="preserve">雇用保険</t>
  </si>
  <si>
    <t xml:space="preserve">雇用勘定</t>
  </si>
  <si>
    <r>
      <rPr>
        <sz val="10"/>
        <rFont val="Noto Sans CJK SC"/>
        <family val="2"/>
      </rPr>
      <t xml:space="preserve">失業等給付</t>
    </r>
    <r>
      <rPr>
        <sz val="10"/>
        <rFont val="游ゴシック"/>
        <family val="0"/>
        <charset val="1"/>
      </rPr>
      <t xml:space="preserve">5/1,000(</t>
    </r>
    <r>
      <rPr>
        <sz val="10"/>
        <rFont val="Noto Sans CJK SC"/>
        <family val="2"/>
      </rPr>
      <t xml:space="preserve">労使折半</t>
    </r>
    <r>
      <rPr>
        <sz val="10"/>
        <rFont val="游ゴシック"/>
        <family val="0"/>
        <charset val="1"/>
      </rPr>
      <t xml:space="preserve">)+</t>
    </r>
    <r>
      <rPr>
        <sz val="10"/>
        <rFont val="Noto Sans CJK SC"/>
        <family val="2"/>
      </rPr>
      <t xml:space="preserve">二事業</t>
    </r>
    <r>
      <rPr>
        <sz val="10"/>
        <rFont val="游ゴシック"/>
        <family val="0"/>
        <charset val="1"/>
      </rPr>
      <t xml:space="preserve">3.5/1,000(</t>
    </r>
    <r>
      <rPr>
        <sz val="10"/>
        <rFont val="Noto Sans CJK SC"/>
        <family val="2"/>
      </rPr>
      <t xml:space="preserve">事業主負担</t>
    </r>
    <r>
      <rPr>
        <sz val="10"/>
        <rFont val="游ゴシック"/>
        <family val="0"/>
        <charset val="1"/>
      </rPr>
      <t xml:space="preserve">)</t>
    </r>
  </si>
  <si>
    <t xml:space="preserve">失業等給付・雇用保険二事業の財源</t>
  </si>
  <si>
    <r>
      <rPr>
        <sz val="10"/>
        <rFont val="Noto Sans CJK SC"/>
        <family val="2"/>
      </rPr>
      <t xml:space="preserve">厚生労働省 令和</t>
    </r>
    <r>
      <rPr>
        <sz val="10"/>
        <rFont val="游ゴシック"/>
        <family val="0"/>
        <charset val="1"/>
      </rPr>
      <t xml:space="preserve">8</t>
    </r>
    <r>
      <rPr>
        <sz val="10"/>
        <rFont val="Noto Sans CJK SC"/>
        <family val="2"/>
      </rPr>
      <t xml:space="preserve">年度予算（労働保険特別会計雇用勘定）</t>
    </r>
  </si>
  <si>
    <t xml:space="preserve">子ども・子育て拠出金</t>
  </si>
  <si>
    <r>
      <rPr>
        <sz val="10"/>
        <rFont val="Noto Sans CJK SC"/>
        <family val="2"/>
      </rPr>
      <t xml:space="preserve">厚生年金勘定内数</t>
    </r>
    <r>
      <rPr>
        <sz val="10"/>
        <rFont val="游ゴシック"/>
        <family val="0"/>
        <charset val="1"/>
      </rPr>
      <t xml:space="preserve">(</t>
    </r>
    <r>
      <rPr>
        <sz val="10"/>
        <rFont val="Noto Sans CJK SC"/>
        <family val="2"/>
      </rPr>
      <t xml:space="preserve">事業主拠出金</t>
    </r>
    <r>
      <rPr>
        <sz val="10"/>
        <rFont val="游ゴシック"/>
        <family val="0"/>
        <charset val="1"/>
      </rPr>
      <t xml:space="preserve">)</t>
    </r>
  </si>
  <si>
    <r>
      <rPr>
        <sz val="10"/>
        <rFont val="Noto Sans CJK SC"/>
        <family val="2"/>
      </rPr>
      <t xml:space="preserve">厚生年金保険料に含む</t>
    </r>
    <r>
      <rPr>
        <sz val="10"/>
        <rFont val="游ゴシック"/>
        <family val="0"/>
        <charset val="1"/>
      </rPr>
      <t xml:space="preserve">(</t>
    </r>
    <r>
      <rPr>
        <sz val="10"/>
        <rFont val="Noto Sans CJK SC"/>
        <family val="2"/>
      </rPr>
      <t xml:space="preserve">内数</t>
    </r>
    <r>
      <rPr>
        <sz val="10"/>
        <rFont val="游ゴシック"/>
        <family val="0"/>
        <charset val="1"/>
      </rPr>
      <t xml:space="preserve">)</t>
    </r>
  </si>
  <si>
    <r>
      <rPr>
        <sz val="10"/>
        <rFont val="游ゴシック"/>
        <family val="0"/>
        <charset val="1"/>
      </rPr>
      <t xml:space="preserve">0.36%(</t>
    </r>
    <r>
      <rPr>
        <sz val="10"/>
        <rFont val="Noto Sans CJK SC"/>
        <family val="2"/>
      </rPr>
      <t xml:space="preserve">事業主のみ負担</t>
    </r>
    <r>
      <rPr>
        <sz val="10"/>
        <rFont val="游ゴシック"/>
        <family val="0"/>
        <charset val="1"/>
      </rPr>
      <t xml:space="preserve">)</t>
    </r>
  </si>
  <si>
    <r>
      <rPr>
        <sz val="10"/>
        <rFont val="Noto Sans CJK SC"/>
        <family val="2"/>
      </rPr>
      <t xml:space="preserve">児童手当等の財源。厚生年金保険料と合算徴収のため上記</t>
    </r>
    <r>
      <rPr>
        <sz val="10"/>
        <rFont val="游ゴシック"/>
        <family val="0"/>
        <charset val="1"/>
      </rPr>
      <t xml:space="preserve">375,687</t>
    </r>
    <r>
      <rPr>
        <sz val="10"/>
        <rFont val="Noto Sans CJK SC"/>
        <family val="2"/>
      </rPr>
      <t xml:space="preserve">億円の内数</t>
    </r>
  </si>
  <si>
    <r>
      <rPr>
        <sz val="10"/>
        <rFont val="Noto Sans CJK SC"/>
        <family val="2"/>
      </rPr>
      <t xml:space="preserve">全国健康保険協会 令和</t>
    </r>
    <r>
      <rPr>
        <sz val="10"/>
        <rFont val="游ゴシック"/>
        <family val="0"/>
        <charset val="1"/>
      </rPr>
      <t xml:space="preserve">8</t>
    </r>
    <r>
      <rPr>
        <sz val="10"/>
        <rFont val="Noto Sans CJK SC"/>
        <family val="2"/>
      </rPr>
      <t xml:space="preserve">年度保険料額表</t>
    </r>
  </si>
  <si>
    <t xml:space="preserve">子ども・子育て支援金</t>
  </si>
  <si>
    <r>
      <rPr>
        <sz val="10"/>
        <rFont val="游ゴシック"/>
        <family val="0"/>
        <charset val="1"/>
      </rPr>
      <t xml:space="preserve">(</t>
    </r>
    <r>
      <rPr>
        <sz val="10"/>
        <rFont val="Noto Sans CJK SC"/>
        <family val="2"/>
      </rPr>
      <t xml:space="preserve">令和</t>
    </r>
    <r>
      <rPr>
        <sz val="10"/>
        <rFont val="游ゴシック"/>
        <family val="0"/>
        <charset val="1"/>
      </rPr>
      <t xml:space="preserve">8</t>
    </r>
    <r>
      <rPr>
        <sz val="10"/>
        <rFont val="Noto Sans CJK SC"/>
        <family val="2"/>
      </rPr>
      <t xml:space="preserve">年度新設</t>
    </r>
    <r>
      <rPr>
        <sz val="10"/>
        <rFont val="游ゴシック"/>
        <family val="0"/>
        <charset val="1"/>
      </rPr>
      <t xml:space="preserve">)</t>
    </r>
  </si>
  <si>
    <r>
      <rPr>
        <sz val="10"/>
        <rFont val="Noto Sans CJK SC"/>
        <family val="2"/>
      </rPr>
      <t xml:space="preserve">被用者保険</t>
    </r>
    <r>
      <rPr>
        <sz val="10"/>
        <rFont val="游ゴシック"/>
        <family val="0"/>
        <charset val="1"/>
      </rPr>
      <t xml:space="preserve">0.23%</t>
    </r>
    <r>
      <rPr>
        <sz val="10"/>
        <rFont val="Noto Sans CJK SC"/>
        <family val="2"/>
      </rPr>
      <t xml:space="preserve">等</t>
    </r>
  </si>
  <si>
    <r>
      <rPr>
        <sz val="10"/>
        <rFont val="Noto Sans CJK SC"/>
        <family val="2"/>
      </rPr>
      <t xml:space="preserve">令和</t>
    </r>
    <r>
      <rPr>
        <sz val="10"/>
        <rFont val="游ゴシック"/>
        <family val="0"/>
        <charset val="1"/>
      </rPr>
      <t xml:space="preserve">8</t>
    </r>
    <r>
      <rPr>
        <sz val="10"/>
        <rFont val="Noto Sans CJK SC"/>
        <family val="2"/>
      </rPr>
      <t xml:space="preserve">年度から段階的実施。公式に「税ではなく社会保険」と位置づけ。令和</t>
    </r>
    <r>
      <rPr>
        <sz val="10"/>
        <rFont val="游ゴシック"/>
        <family val="0"/>
        <charset val="1"/>
      </rPr>
      <t xml:space="preserve">8</t>
    </r>
    <r>
      <rPr>
        <sz val="10"/>
        <rFont val="Noto Sans CJK SC"/>
        <family val="2"/>
      </rPr>
      <t xml:space="preserve">年度総額</t>
    </r>
    <r>
      <rPr>
        <sz val="10"/>
        <rFont val="游ゴシック"/>
        <family val="0"/>
        <charset val="1"/>
      </rPr>
      <t xml:space="preserve">0.60</t>
    </r>
    <r>
      <rPr>
        <sz val="10"/>
        <rFont val="Noto Sans CJK SC"/>
        <family val="2"/>
      </rPr>
      <t xml:space="preserve">兆円</t>
    </r>
  </si>
  <si>
    <r>
      <rPr>
        <sz val="10"/>
        <rFont val="Noto Sans CJK SC"/>
        <family val="2"/>
      </rPr>
      <t xml:space="preserve">こども家庭庁 子ども・子育て支援金制度について</t>
    </r>
    <r>
      <rPr>
        <sz val="10"/>
        <rFont val="游ゴシック"/>
        <family val="0"/>
        <charset val="1"/>
      </rPr>
      <t xml:space="preserve">(R8.3)</t>
    </r>
  </si>
  <si>
    <t xml:space="preserve">小計（厚生年金・国民年金・労災・雇用・子育て支援金）※健康勘定は国庫負担金原資のため除く</t>
  </si>
  <si>
    <t xml:space="preserve">【含めていないもの】国民健康保険料・後期高齢者医療保険料（市区町村・広域連合が個別賦課するため国の予算には計上されない）、</t>
  </si>
  <si>
    <t xml:space="preserve">健康保険組合・協会けんぽの保険料本体（事業者・個人から直接徴収され、国の特別会計を経由しない）、介護保険料（同様）。</t>
  </si>
  <si>
    <t xml:space="preserve">これらは市区町村単位・保険者単位の賦課であり、「国の予算」という今回のスコープの外。地方税・地方単独事業の整理と合わせて別途検討が必要。</t>
  </si>
  <si>
    <r>
      <rPr>
        <sz val="10"/>
        <rFont val="Noto Sans CJK SC"/>
        <family val="2"/>
      </rPr>
      <t xml:space="preserve">健康勘定の</t>
    </r>
    <r>
      <rPr>
        <sz val="10"/>
        <rFont val="游ゴシック"/>
        <family val="0"/>
        <charset val="1"/>
      </rPr>
      <t xml:space="preserve">125,333</t>
    </r>
    <r>
      <rPr>
        <sz val="10"/>
        <rFont val="Noto Sans CJK SC"/>
        <family val="2"/>
      </rPr>
      <t xml:space="preserve">億円は協会けんぽ等への国庫補助金の原資であり、保険料そのものの全国集計ではない点に注意。</t>
    </r>
  </si>
  <si>
    <r>
      <rPr>
        <sz val="10"/>
        <rFont val="Noto Sans CJK SC"/>
        <family val="2"/>
      </rPr>
      <t xml:space="preserve">子ども・子育て拠出金は厚生年金保険料と合算徴収されるため、厚生年金勘定の保険料収入</t>
    </r>
    <r>
      <rPr>
        <sz val="10"/>
        <rFont val="游ゴシック"/>
        <family val="0"/>
        <charset val="1"/>
      </rPr>
      <t xml:space="preserve">375,687</t>
    </r>
    <r>
      <rPr>
        <sz val="10"/>
        <rFont val="Noto Sans CJK SC"/>
        <family val="2"/>
      </rPr>
      <t xml:space="preserve">億円の内数（独自の集計値は本資料では未確認）。</t>
    </r>
  </si>
  <si>
    <t xml:space="preserve">【その他公課】国予算経由（特許特会・自動車安全特会・石綿拠出金等）</t>
  </si>
  <si>
    <t xml:space="preserve">【スコープ確認】本シートは「国の予算（一般会計・特別会計）に計上される公課」のみを対象とする。預金保険機構・農水産業協同組合貯金保険機構・原子力損害賠償廃炉等支援機構等、認可法人・独立行政法人が国の予算を経由せず直接徴収する分担金・拠出金は対象外（規模が大きいものもあるが今回は除外）。</t>
  </si>
  <si>
    <t xml:space="preserve">特許特別会計（特許料・登録料等の手数料総額）</t>
  </si>
  <si>
    <t xml:space="preserve">特許特別会計</t>
  </si>
  <si>
    <t xml:space="preserve">確定値</t>
  </si>
  <si>
    <r>
      <rPr>
        <sz val="10"/>
        <rFont val="Noto Sans CJK SC"/>
        <family val="2"/>
      </rPr>
      <t xml:space="preserve">工業所有権</t>
    </r>
    <r>
      <rPr>
        <sz val="10"/>
        <rFont val="游ゴシック"/>
        <family val="0"/>
        <charset val="1"/>
      </rPr>
      <t xml:space="preserve">(</t>
    </r>
    <r>
      <rPr>
        <sz val="10"/>
        <rFont val="Noto Sans CJK SC"/>
        <family val="2"/>
      </rPr>
      <t xml:space="preserve">特許・実用新案・意匠・商標</t>
    </r>
    <r>
      <rPr>
        <sz val="10"/>
        <rFont val="游ゴシック"/>
        <family val="0"/>
        <charset val="1"/>
      </rPr>
      <t xml:space="preserve">)</t>
    </r>
    <r>
      <rPr>
        <sz val="10"/>
        <rFont val="Noto Sans CJK SC"/>
        <family val="2"/>
      </rPr>
      <t xml:space="preserve">の出願料・登録料・更新料等。歳入歳出ほぼ均衡</t>
    </r>
  </si>
  <si>
    <r>
      <rPr>
        <sz val="10"/>
        <rFont val="Noto Sans CJK SC"/>
        <family val="2"/>
      </rPr>
      <t xml:space="preserve">特許庁「令和</t>
    </r>
    <r>
      <rPr>
        <sz val="10"/>
        <rFont val="游ゴシック"/>
        <family val="0"/>
        <charset val="1"/>
      </rPr>
      <t xml:space="preserve">8</t>
    </r>
    <r>
      <rPr>
        <sz val="10"/>
        <rFont val="Noto Sans CJK SC"/>
        <family val="2"/>
      </rPr>
      <t xml:space="preserve">年度特許特別会計予算案のポイント」</t>
    </r>
  </si>
  <si>
    <t xml:space="preserve">自動車検査登録手数料・自賠責保障賦課金（推定）</t>
  </si>
  <si>
    <r>
      <rPr>
        <sz val="10"/>
        <rFont val="Noto Sans CJK SC"/>
        <family val="2"/>
      </rPr>
      <t xml:space="preserve">自動車安全特別会計</t>
    </r>
    <r>
      <rPr>
        <sz val="10"/>
        <rFont val="游ゴシック"/>
        <family val="0"/>
        <charset val="1"/>
      </rPr>
      <t xml:space="preserve">(</t>
    </r>
    <r>
      <rPr>
        <sz val="10"/>
        <rFont val="Noto Sans CJK SC"/>
        <family val="2"/>
      </rPr>
      <t xml:space="preserve">保障勘定</t>
    </r>
    <r>
      <rPr>
        <sz val="10"/>
        <rFont val="游ゴシック"/>
        <family val="0"/>
        <charset val="1"/>
      </rPr>
      <t xml:space="preserve">+</t>
    </r>
    <r>
      <rPr>
        <sz val="10"/>
        <rFont val="Noto Sans CJK SC"/>
        <family val="2"/>
      </rPr>
      <t xml:space="preserve">検査登録勘定</t>
    </r>
    <r>
      <rPr>
        <sz val="10"/>
        <rFont val="游ゴシック"/>
        <family val="0"/>
        <charset val="1"/>
      </rPr>
      <t xml:space="preserve">)</t>
    </r>
  </si>
  <si>
    <r>
      <rPr>
        <sz val="10"/>
        <rFont val="Noto Sans CJK SC"/>
        <family val="2"/>
      </rPr>
      <t xml:space="preserve">概算</t>
    </r>
    <r>
      <rPr>
        <sz val="10"/>
        <rFont val="游ゴシック"/>
        <family val="0"/>
        <charset val="1"/>
      </rPr>
      <t xml:space="preserve">(</t>
    </r>
    <r>
      <rPr>
        <sz val="10"/>
        <rFont val="Noto Sans CJK SC"/>
        <family val="2"/>
      </rPr>
      <t xml:space="preserve">款項対応未確定</t>
    </r>
    <r>
      <rPr>
        <sz val="10"/>
        <rFont val="游ゴシック"/>
        <family val="0"/>
        <charset val="1"/>
      </rPr>
      <t xml:space="preserve">)</t>
    </r>
  </si>
  <si>
    <r>
      <rPr>
        <sz val="10"/>
        <rFont val="Noto Sans CJK SC"/>
        <family val="2"/>
      </rPr>
      <t xml:space="preserve">各目明細書から款</t>
    </r>
    <r>
      <rPr>
        <sz val="10"/>
        <rFont val="游ゴシック"/>
        <family val="0"/>
        <charset val="1"/>
      </rPr>
      <t xml:space="preserve">0100(</t>
    </r>
    <r>
      <rPr>
        <sz val="10"/>
        <rFont val="Noto Sans CJK SC"/>
        <family val="2"/>
      </rPr>
      <t xml:space="preserve">保障勘定賦課金収入</t>
    </r>
    <r>
      <rPr>
        <sz val="10"/>
        <rFont val="游ゴシック"/>
        <family val="0"/>
        <charset val="1"/>
      </rPr>
      <t xml:space="preserve">)</t>
    </r>
    <r>
      <rPr>
        <sz val="10"/>
        <rFont val="Noto Sans CJK SC"/>
        <family val="2"/>
      </rPr>
      <t xml:space="preserve">・款</t>
    </r>
    <r>
      <rPr>
        <sz val="10"/>
        <rFont val="游ゴシック"/>
        <family val="0"/>
        <charset val="1"/>
      </rPr>
      <t xml:space="preserve">0300(</t>
    </r>
    <r>
      <rPr>
        <sz val="10"/>
        <rFont val="Noto Sans CJK SC"/>
        <family val="2"/>
      </rPr>
      <t xml:space="preserve">検査登録勘定手数料収入</t>
    </r>
    <r>
      <rPr>
        <sz val="10"/>
        <rFont val="游ゴシック"/>
        <family val="0"/>
        <charset val="1"/>
      </rPr>
      <t xml:space="preserve">)</t>
    </r>
    <r>
      <rPr>
        <sz val="10"/>
        <rFont val="Noto Sans CJK SC"/>
        <family val="2"/>
      </rPr>
      <t xml:space="preserve">を抽出したが、款項ラベルが</t>
    </r>
    <r>
      <rPr>
        <sz val="10"/>
        <rFont val="游ゴシック"/>
        <family val="0"/>
        <charset val="1"/>
      </rPr>
      <t xml:space="preserve">PDF</t>
    </r>
    <r>
      <rPr>
        <sz val="10"/>
        <rFont val="Noto Sans CJK SC"/>
        <family val="2"/>
      </rPr>
      <t xml:space="preserve">抽出で失われたため概算扱い</t>
    </r>
  </si>
  <si>
    <r>
      <rPr>
        <sz val="10"/>
        <rFont val="Noto Sans CJK SC"/>
        <family val="2"/>
      </rPr>
      <t xml:space="preserve">国土交通省「令和</t>
    </r>
    <r>
      <rPr>
        <sz val="10"/>
        <rFont val="游ゴシック"/>
        <family val="0"/>
        <charset val="1"/>
      </rPr>
      <t xml:space="preserve">8</t>
    </r>
    <r>
      <rPr>
        <sz val="10"/>
        <rFont val="Noto Sans CJK SC"/>
        <family val="2"/>
      </rPr>
      <t xml:space="preserve">年度当初予算の各目明細書</t>
    </r>
    <r>
      <rPr>
        <sz val="10"/>
        <rFont val="游ゴシック"/>
        <family val="0"/>
        <charset val="1"/>
      </rPr>
      <t xml:space="preserve">(</t>
    </r>
    <r>
      <rPr>
        <sz val="10"/>
        <rFont val="Noto Sans CJK SC"/>
        <family val="2"/>
      </rPr>
      <t xml:space="preserve">自動車安全特別会計</t>
    </r>
    <r>
      <rPr>
        <sz val="10"/>
        <rFont val="游ゴシック"/>
        <family val="0"/>
        <charset val="1"/>
      </rPr>
      <t xml:space="preserve">)</t>
    </r>
    <r>
      <rPr>
        <sz val="10"/>
        <rFont val="Noto Sans CJK SC"/>
        <family val="2"/>
      </rPr>
      <t xml:space="preserve">」※要再検証</t>
    </r>
  </si>
  <si>
    <t xml:space="preserve">石綿健康被害救済 一般拠出金</t>
  </si>
  <si>
    <t xml:space="preserve">労働保険特別会計徴収勘定</t>
  </si>
  <si>
    <r>
      <rPr>
        <sz val="10"/>
        <rFont val="Noto Sans CJK SC"/>
        <family val="2"/>
      </rPr>
      <t xml:space="preserve">概算</t>
    </r>
    <r>
      <rPr>
        <sz val="10"/>
        <rFont val="游ゴシック"/>
        <family val="0"/>
        <charset val="1"/>
      </rPr>
      <t xml:space="preserve">(</t>
    </r>
    <r>
      <rPr>
        <sz val="10"/>
        <rFont val="Noto Sans CJK SC"/>
        <family val="2"/>
      </rPr>
      <t xml:space="preserve">料率からの試算</t>
    </r>
    <r>
      <rPr>
        <sz val="10"/>
        <rFont val="游ゴシック"/>
        <family val="0"/>
        <charset val="1"/>
      </rPr>
      <t xml:space="preserve">)</t>
    </r>
  </si>
  <si>
    <r>
      <rPr>
        <sz val="10"/>
        <rFont val="Noto Sans CJK SC"/>
        <family val="2"/>
      </rPr>
      <t xml:space="preserve">労災保険適用事業主の賃金総額</t>
    </r>
    <r>
      <rPr>
        <sz val="10"/>
        <rFont val="游ゴシック"/>
        <family val="0"/>
        <charset val="1"/>
      </rPr>
      <t xml:space="preserve">×0.02‰</t>
    </r>
    <r>
      <rPr>
        <sz val="10"/>
        <rFont val="Noto Sans CJK SC"/>
        <family val="2"/>
      </rPr>
      <t xml:space="preserve">。労働保険料と合算徴収のため労災勘定の保険料収入には非含有</t>
    </r>
    <r>
      <rPr>
        <sz val="10"/>
        <rFont val="游ゴシック"/>
        <family val="0"/>
        <charset val="1"/>
      </rPr>
      <t xml:space="preserve">(</t>
    </r>
    <r>
      <rPr>
        <sz val="10"/>
        <rFont val="Noto Sans CJK SC"/>
        <family val="2"/>
      </rPr>
      <t xml:space="preserve">別建て歳入科目</t>
    </r>
    <r>
      <rPr>
        <sz val="10"/>
        <rFont val="游ゴシック"/>
        <family val="0"/>
        <charset val="1"/>
      </rPr>
      <t xml:space="preserve">)</t>
    </r>
  </si>
  <si>
    <r>
      <rPr>
        <sz val="10"/>
        <rFont val="Noto Sans CJK SC"/>
        <family val="2"/>
      </rPr>
      <t xml:space="preserve">厚生労働省「石綿健康被害救済法に基づく一般拠出金の徴収制度について」</t>
    </r>
    <r>
      <rPr>
        <sz val="10"/>
        <rFont val="游ゴシック"/>
        <family val="0"/>
        <charset val="1"/>
      </rPr>
      <t xml:space="preserve">(</t>
    </r>
    <r>
      <rPr>
        <sz val="10"/>
        <rFont val="Noto Sans CJK SC"/>
        <family val="2"/>
      </rPr>
      <t xml:space="preserve">料率</t>
    </r>
    <r>
      <rPr>
        <sz val="10"/>
        <rFont val="游ゴシック"/>
        <family val="0"/>
        <charset val="1"/>
      </rPr>
      <t xml:space="preserve">1000</t>
    </r>
    <r>
      <rPr>
        <sz val="10"/>
        <rFont val="Noto Sans CJK SC"/>
        <family val="2"/>
      </rPr>
      <t xml:space="preserve">分の</t>
    </r>
    <r>
      <rPr>
        <sz val="10"/>
        <rFont val="游ゴシック"/>
        <family val="0"/>
        <charset val="1"/>
      </rPr>
      <t xml:space="preserve">0.02</t>
    </r>
    <r>
      <rPr>
        <sz val="10"/>
        <rFont val="Noto Sans CJK SC"/>
        <family val="2"/>
      </rPr>
      <t xml:space="preserve">から試算</t>
    </r>
    <r>
      <rPr>
        <sz val="10"/>
        <rFont val="游ゴシック"/>
        <family val="0"/>
        <charset val="1"/>
      </rPr>
      <t xml:space="preserve">)</t>
    </r>
  </si>
  <si>
    <t xml:space="preserve">【対象外・参考】預金保険機構 保険料</t>
  </si>
  <si>
    <t xml:space="preserve">（認可法人・国予算非経由）</t>
  </si>
  <si>
    <t xml:space="preserve">対象外</t>
  </si>
  <si>
    <t xml:space="preserve">国予算非経由</t>
  </si>
  <si>
    <t xml:space="preserve">預金保険機構が金融機関から直接徴収。一般会計・特別会計いずれにも計上されない</t>
  </si>
  <si>
    <t xml:space="preserve">預金保険法、預金保険機構ウェブサイト</t>
  </si>
  <si>
    <t xml:space="preserve">【対象外・参考】原子力損害賠償・廃炉等支援機構 一般負担金</t>
  </si>
  <si>
    <r>
      <rPr>
        <sz val="10"/>
        <rFont val="Noto Sans CJK SC"/>
        <family val="2"/>
      </rPr>
      <t xml:space="preserve">対象外</t>
    </r>
    <r>
      <rPr>
        <sz val="10"/>
        <rFont val="游ゴシック"/>
        <family val="0"/>
        <charset val="1"/>
      </rPr>
      <t xml:space="preserve">(</t>
    </r>
    <r>
      <rPr>
        <sz val="10"/>
        <rFont val="Noto Sans CJK SC"/>
        <family val="2"/>
      </rPr>
      <t xml:space="preserve">参考</t>
    </r>
    <r>
      <rPr>
        <sz val="10"/>
        <rFont val="游ゴシック"/>
        <family val="0"/>
        <charset val="1"/>
      </rPr>
      <t xml:space="preserve">:</t>
    </r>
    <r>
      <rPr>
        <sz val="10"/>
        <rFont val="Noto Sans CJK SC"/>
        <family val="2"/>
      </rPr>
      <t xml:space="preserve">近年</t>
    </r>
    <r>
      <rPr>
        <sz val="10"/>
        <rFont val="游ゴシック"/>
        <family val="0"/>
        <charset val="1"/>
      </rPr>
      <t xml:space="preserve">1,600</t>
    </r>
    <r>
      <rPr>
        <sz val="10"/>
        <rFont val="Noto Sans CJK SC"/>
        <family val="2"/>
      </rPr>
      <t xml:space="preserve">～</t>
    </r>
    <r>
      <rPr>
        <sz val="10"/>
        <rFont val="游ゴシック"/>
        <family val="0"/>
        <charset val="1"/>
      </rPr>
      <t xml:space="preserve">2,300</t>
    </r>
    <r>
      <rPr>
        <sz val="10"/>
        <rFont val="Noto Sans CJK SC"/>
        <family val="2"/>
      </rPr>
      <t xml:space="preserve">億円規模</t>
    </r>
    <r>
      <rPr>
        <sz val="10"/>
        <rFont val="游ゴシック"/>
        <family val="0"/>
        <charset val="1"/>
      </rPr>
      <t xml:space="preserve">)</t>
    </r>
  </si>
  <si>
    <t xml:space="preserve">原子力事業者が機構に直接納付。国の予算を経由しない</t>
  </si>
  <si>
    <t xml:space="preserve">原子力損害賠償・廃炉等支援機構「負担金の概要」</t>
  </si>
  <si>
    <t xml:space="preserve">【対象外・参考】農水産業協同組合貯金保険機構 保険料</t>
  </si>
  <si>
    <t xml:space="preserve">農協・漁協系統金融機関が機構に直接納付</t>
  </si>
  <si>
    <t xml:space="preserve">農水産業協同組合貯金保険法</t>
  </si>
  <si>
    <t xml:space="preserve">小計（国予算経由・対象内のみ：特許特会＋自動車安全特会概算＋石綿一般拠出金概算）</t>
  </si>
  <si>
    <t xml:space="preserve">【未着手・今後の課題】特定保健福祉事業財源、独立行政法人福祉医療機構納付金、原子力防災関連の電源開発促進税以外の賦課、</t>
  </si>
  <si>
    <r>
      <rPr>
        <sz val="10"/>
        <rFont val="Noto Sans CJK SC"/>
        <family val="2"/>
      </rPr>
      <t xml:space="preserve">貯金保険機構・特定業務負担金（農林水産省所管）、</t>
    </r>
    <r>
      <rPr>
        <sz val="10"/>
        <rFont val="游ゴシック"/>
        <family val="0"/>
        <charset val="1"/>
      </rPr>
      <t xml:space="preserve">CSC</t>
    </r>
    <r>
      <rPr>
        <sz val="10"/>
        <rFont val="Noto Sans CJK SC"/>
        <family val="2"/>
      </rPr>
      <t xml:space="preserve">一般負担金・特別負担金（原子力損害賠償条約関連、文部科学省所管）、</t>
    </r>
  </si>
  <si>
    <r>
      <rPr>
        <sz val="10"/>
        <rFont val="Noto Sans CJK SC"/>
        <family val="2"/>
      </rPr>
      <t xml:space="preserve">聴覚障害者等電話利用負担金（総務省所管）等、法定公課</t>
    </r>
    <r>
      <rPr>
        <sz val="10"/>
        <rFont val="游ゴシック"/>
        <family val="0"/>
        <charset val="1"/>
      </rPr>
      <t xml:space="preserve">70</t>
    </r>
    <r>
      <rPr>
        <sz val="10"/>
        <rFont val="Noto Sans CJK SC"/>
        <family val="2"/>
      </rPr>
      <t xml:space="preserve">件リストの残りは多くが認可法人直接徴収型または数億円規模の小口公課であり、</t>
    </r>
  </si>
  <si>
    <t xml:space="preserve">今回は規模優先のため未着手。総務・文科省所管分は概ね数億円〜数十億円規模と推定される（過去整理の参議院答弁書ベース）。</t>
  </si>
  <si>
    <t xml:space="preserve">No</t>
  </si>
  <si>
    <t xml:space="preserve">所管</t>
  </si>
  <si>
    <t xml:space="preserve">公課名</t>
  </si>
  <si>
    <t xml:space="preserve">納付先区分</t>
  </si>
  <si>
    <t xml:space="preserve">具体的な納付先</t>
  </si>
  <si>
    <r>
      <rPr>
        <b val="true"/>
        <sz val="10"/>
        <color rgb="FFFFFFFF"/>
        <rFont val="Noto Sans CJK SC"/>
        <family val="2"/>
      </rPr>
      <t xml:space="preserve">令和</t>
    </r>
    <r>
      <rPr>
        <b val="true"/>
        <sz val="10"/>
        <color rgb="FFFFFFFF"/>
        <rFont val="游ゴシック"/>
        <family val="0"/>
        <charset val="1"/>
      </rPr>
      <t xml:space="preserve">8</t>
    </r>
    <r>
      <rPr>
        <b val="true"/>
        <sz val="10"/>
        <color rgb="FFFFFFFF"/>
        <rFont val="Noto Sans CJK SC"/>
        <family val="2"/>
      </rPr>
      <t xml:space="preserve">年度予算額</t>
    </r>
  </si>
  <si>
    <r>
      <rPr>
        <b val="true"/>
        <sz val="10"/>
        <color rgb="FFFFFFFF"/>
        <rFont val="Noto Sans CJK SC"/>
        <family val="2"/>
      </rPr>
      <t xml:space="preserve">令和</t>
    </r>
    <r>
      <rPr>
        <b val="true"/>
        <sz val="10"/>
        <color rgb="FFFFFFFF"/>
        <rFont val="游ゴシック"/>
        <family val="0"/>
        <charset val="1"/>
      </rPr>
      <t xml:space="preserve">4</t>
    </r>
    <r>
      <rPr>
        <b val="true"/>
        <sz val="10"/>
        <color rgb="FFFFFFFF"/>
        <rFont val="Noto Sans CJK SC"/>
        <family val="2"/>
      </rPr>
      <t xml:space="preserve">年度決算額</t>
    </r>
    <r>
      <rPr>
        <b val="true"/>
        <sz val="10"/>
        <color rgb="FFFFFFFF"/>
        <rFont val="游ゴシック"/>
        <family val="0"/>
        <charset val="1"/>
      </rPr>
      <t xml:space="preserve">(</t>
    </r>
    <r>
      <rPr>
        <b val="true"/>
        <sz val="10"/>
        <color rgb="FFFFFFFF"/>
        <rFont val="Noto Sans CJK SC"/>
        <family val="2"/>
      </rPr>
      <t xml:space="preserve">参考</t>
    </r>
    <r>
      <rPr>
        <b val="true"/>
        <sz val="10"/>
        <color rgb="FFFFFFFF"/>
        <rFont val="游ゴシック"/>
        <family val="0"/>
        <charset val="1"/>
      </rPr>
      <t xml:space="preserve">)</t>
    </r>
  </si>
  <si>
    <t xml:space="preserve">備考</t>
  </si>
  <si>
    <r>
      <rPr>
        <b val="true"/>
        <sz val="9"/>
        <color rgb="FF9C5700"/>
        <rFont val="Noto Sans CJK SC"/>
        <family val="2"/>
      </rPr>
      <t xml:space="preserve">出典：参議院議員浜田聡君提出「法令で国民に支払いが義務化されている拠出金や賦課金等と税金との性格の違いに関する質問」に対する答弁書（内閣参質二一二第七三号、令和</t>
    </r>
    <r>
      <rPr>
        <b val="true"/>
        <sz val="9"/>
        <color rgb="FF9C5700"/>
        <rFont val="游ゴシック"/>
        <family val="0"/>
        <charset val="1"/>
      </rPr>
      <t xml:space="preserve">5</t>
    </r>
    <r>
      <rPr>
        <b val="true"/>
        <sz val="9"/>
        <color rgb="FF9C5700"/>
        <rFont val="Noto Sans CJK SC"/>
        <family val="2"/>
      </rPr>
      <t xml:space="preserve">年</t>
    </r>
    <r>
      <rPr>
        <b val="true"/>
        <sz val="9"/>
        <color rgb="FF9C5700"/>
        <rFont val="游ゴシック"/>
        <family val="0"/>
        <charset val="1"/>
      </rPr>
      <t xml:space="preserve">12</t>
    </r>
    <r>
      <rPr>
        <b val="true"/>
        <sz val="9"/>
        <color rgb="FF9C5700"/>
        <rFont val="Noto Sans CJK SC"/>
        <family val="2"/>
      </rPr>
      <t xml:space="preserve">月</t>
    </r>
    <r>
      <rPr>
        <b val="true"/>
        <sz val="9"/>
        <color rgb="FF9C5700"/>
        <rFont val="游ゴシック"/>
        <family val="0"/>
        <charset val="1"/>
      </rPr>
      <t xml:space="preserve">12</t>
    </r>
    <r>
      <rPr>
        <b val="true"/>
        <sz val="9"/>
        <color rgb="FF9C5700"/>
        <rFont val="Noto Sans CJK SC"/>
        <family val="2"/>
      </rPr>
      <t xml:space="preserve">日）。緑網掛け＝条文上「国の予算（一般会計・特別会計）」が納付先と確定できるもの（</t>
    </r>
    <r>
      <rPr>
        <b val="true"/>
        <sz val="9"/>
        <color rgb="FF9C5700"/>
        <rFont val="游ゴシック"/>
        <family val="0"/>
        <charset val="1"/>
      </rPr>
      <t xml:space="preserve">22</t>
    </r>
    <r>
      <rPr>
        <b val="true"/>
        <sz val="9"/>
        <color rgb="FF9C5700"/>
        <rFont val="Noto Sans CJK SC"/>
        <family val="2"/>
      </rPr>
      <t xml:space="preserve">件）。</t>
    </r>
    <r>
      <rPr>
        <b val="true"/>
        <sz val="9"/>
        <color rgb="FF9C5700"/>
        <rFont val="游ゴシック"/>
        <family val="0"/>
        <charset val="1"/>
      </rPr>
      <t xml:space="preserve">R8</t>
    </r>
    <r>
      <rPr>
        <b val="true"/>
        <sz val="9"/>
        <color rgb="FF9C5700"/>
        <rFont val="Noto Sans CJK SC"/>
        <family val="2"/>
      </rPr>
      <t xml:space="preserve">予算額・</t>
    </r>
    <r>
      <rPr>
        <b val="true"/>
        <sz val="9"/>
        <color rgb="FF9C5700"/>
        <rFont val="游ゴシック"/>
        <family val="0"/>
        <charset val="1"/>
      </rPr>
      <t xml:space="preserve">R4</t>
    </r>
    <r>
      <rPr>
        <b val="true"/>
        <sz val="9"/>
        <color rgb="FF9C5700"/>
        <rFont val="Noto Sans CJK SC"/>
        <family val="2"/>
      </rPr>
      <t xml:space="preserve">決算額・備考は、国納付</t>
    </r>
    <r>
      <rPr>
        <b val="true"/>
        <sz val="9"/>
        <color rgb="FF9C5700"/>
        <rFont val="游ゴシック"/>
        <family val="0"/>
        <charset val="1"/>
      </rPr>
      <t xml:space="preserve">22</t>
    </r>
    <r>
      <rPr>
        <b val="true"/>
        <sz val="9"/>
        <color rgb="FF9C5700"/>
        <rFont val="Noto Sans CJK SC"/>
        <family val="2"/>
      </rPr>
      <t xml:space="preserve">件についてのみ調査済み。それ以外（認可法人・民間団体等への直接納付</t>
    </r>
    <r>
      <rPr>
        <b val="true"/>
        <sz val="9"/>
        <color rgb="FF9C5700"/>
        <rFont val="游ゴシック"/>
        <family val="0"/>
        <charset val="1"/>
      </rPr>
      <t xml:space="preserve">48</t>
    </r>
    <r>
      <rPr>
        <b val="true"/>
        <sz val="9"/>
        <color rgb="FF9C5700"/>
        <rFont val="Noto Sans CJK SC"/>
        <family val="2"/>
      </rPr>
      <t xml:space="preserve">件）は対象外として未調査。</t>
    </r>
  </si>
  <si>
    <t xml:space="preserve">内閣府</t>
  </si>
  <si>
    <t xml:space="preserve">地域経済活性化支援機構拠出金</t>
  </si>
  <si>
    <t xml:space="preserve">認可法人等</t>
  </si>
  <si>
    <t xml:space="preserve">株式会社地域経済活性化支援機構</t>
  </si>
  <si>
    <t xml:space="preserve">金融庁</t>
  </si>
  <si>
    <t xml:space="preserve">預金保険料</t>
  </si>
  <si>
    <t xml:space="preserve">預金保険機構</t>
  </si>
  <si>
    <t xml:space="preserve">預金保険機構に対する負担金</t>
  </si>
  <si>
    <t xml:space="preserve">預金保険機構に対する特定負担金</t>
  </si>
  <si>
    <t xml:space="preserve">保険契約者保護資金負担金</t>
  </si>
  <si>
    <t xml:space="preserve">生命保険契約者保護機構／損害保険契約者保護機構</t>
  </si>
  <si>
    <t xml:space="preserve">損害保険料率算出機構負担金</t>
  </si>
  <si>
    <t xml:space="preserve">民間団体</t>
  </si>
  <si>
    <t xml:space="preserve">損害保険料率算出機構（定款上の会費）</t>
  </si>
  <si>
    <t xml:space="preserve">日本投資者保護基金負担金</t>
  </si>
  <si>
    <t xml:space="preserve">日本投資者保護基金</t>
  </si>
  <si>
    <r>
      <rPr>
        <sz val="10"/>
        <rFont val="Noto Sans CJK SC"/>
        <family val="2"/>
      </rPr>
      <t xml:space="preserve">指定紛争解決機関（金融</t>
    </r>
    <r>
      <rPr>
        <sz val="10"/>
        <rFont val="游ゴシック"/>
        <family val="0"/>
        <charset val="1"/>
      </rPr>
      <t xml:space="preserve">ADR</t>
    </r>
    <r>
      <rPr>
        <sz val="10"/>
        <rFont val="Noto Sans CJK SC"/>
        <family val="2"/>
      </rPr>
      <t xml:space="preserve">）負担金</t>
    </r>
  </si>
  <si>
    <t xml:space="preserve">各業態の指定紛争解決機関</t>
  </si>
  <si>
    <t xml:space="preserve">加入者保護信託への負担金</t>
  </si>
  <si>
    <t xml:space="preserve">振替機関等（信託銀行等）</t>
  </si>
  <si>
    <t xml:space="preserve">銀行等保有株式取得機構拠出金</t>
  </si>
  <si>
    <t xml:space="preserve">銀行等保有株式取得機構</t>
  </si>
  <si>
    <t xml:space="preserve">こども家庭庁</t>
  </si>
  <si>
    <t xml:space="preserve">国（国の予算）</t>
  </si>
  <si>
    <t xml:space="preserve">子ども・子育て支援特別会計</t>
  </si>
  <si>
    <r>
      <rPr>
        <sz val="10"/>
        <rFont val="游ゴシック"/>
        <family val="0"/>
        <charset val="1"/>
      </rPr>
      <t xml:space="preserve">6,971</t>
    </r>
    <r>
      <rPr>
        <sz val="10"/>
        <rFont val="Noto Sans CJK SC"/>
        <family val="2"/>
      </rPr>
      <t xml:space="preserve">億円</t>
    </r>
  </si>
  <si>
    <t xml:space="preserve">厚生年金と合算徴収のため不分離</t>
  </si>
  <si>
    <t xml:space="preserve">復興庁</t>
  </si>
  <si>
    <t xml:space="preserve">東日本大震災事業者再生支援機構拠出金</t>
  </si>
  <si>
    <t xml:space="preserve">株式会社東日本大震災事業者再生支援機構</t>
  </si>
  <si>
    <t xml:space="preserve">総務省</t>
  </si>
  <si>
    <t xml:space="preserve">ユニバーサルサービス料</t>
  </si>
  <si>
    <t xml:space="preserve">民間事業者</t>
  </si>
  <si>
    <r>
      <rPr>
        <sz val="10"/>
        <rFont val="Noto Sans CJK SC"/>
        <family val="2"/>
      </rPr>
      <t xml:space="preserve">日本電信電話株式会社（</t>
    </r>
    <r>
      <rPr>
        <sz val="10"/>
        <rFont val="游ゴシック"/>
        <family val="0"/>
        <charset val="1"/>
      </rPr>
      <t xml:space="preserve">NTT</t>
    </r>
    <r>
      <rPr>
        <sz val="10"/>
        <rFont val="Noto Sans CJK SC"/>
        <family val="2"/>
      </rPr>
      <t xml:space="preserve">東西）</t>
    </r>
  </si>
  <si>
    <t xml:space="preserve">郵便局ネットワーク維持支援拠出金</t>
  </si>
  <si>
    <t xml:space="preserve">郵便貯金簡易生命保険管理・郵便局ネットワーク支援機構</t>
  </si>
  <si>
    <t xml:space="preserve">郵便物運送委託補償金</t>
  </si>
  <si>
    <t xml:space="preserve">一般会計（国庫）</t>
  </si>
  <si>
    <t xml:space="preserve">未確定</t>
  </si>
  <si>
    <r>
      <rPr>
        <sz val="10"/>
        <rFont val="游ゴシック"/>
        <family val="0"/>
        <charset val="1"/>
      </rPr>
      <t xml:space="preserve">0</t>
    </r>
    <r>
      <rPr>
        <sz val="10"/>
        <rFont val="Noto Sans CJK SC"/>
        <family val="2"/>
      </rPr>
      <t xml:space="preserve">円</t>
    </r>
  </si>
  <si>
    <r>
      <rPr>
        <sz val="10"/>
        <rFont val="游ゴシック"/>
        <family val="0"/>
        <charset val="1"/>
      </rPr>
      <t xml:space="preserve">R4</t>
    </r>
    <r>
      <rPr>
        <sz val="10"/>
        <rFont val="Noto Sans CJK SC"/>
        <family val="2"/>
      </rPr>
      <t xml:space="preserve">実績</t>
    </r>
    <r>
      <rPr>
        <sz val="10"/>
        <rFont val="游ゴシック"/>
        <family val="0"/>
        <charset val="1"/>
      </rPr>
      <t xml:space="preserve">0</t>
    </r>
    <r>
      <rPr>
        <sz val="10"/>
        <rFont val="Noto Sans CJK SC"/>
        <family val="2"/>
      </rPr>
      <t xml:space="preserve">円、僅少と推定</t>
    </r>
  </si>
  <si>
    <t xml:space="preserve">聴覚障害者等電話利用負担金</t>
  </si>
  <si>
    <t xml:space="preserve">一般財団法人日本財団</t>
  </si>
  <si>
    <t xml:space="preserve">ブロードバンドサービス負担金</t>
  </si>
  <si>
    <t xml:space="preserve">国（制度詳細検討中）</t>
  </si>
  <si>
    <t xml:space="preserve">把握していない</t>
  </si>
  <si>
    <t xml:space="preserve">制度詳細が検討中だった</t>
  </si>
  <si>
    <t xml:space="preserve">文部科学省</t>
  </si>
  <si>
    <t xml:space="preserve">私的録音録画補償金</t>
  </si>
  <si>
    <t xml:space="preserve">指定管理団体（一般社団法人）</t>
  </si>
  <si>
    <t xml:space="preserve">授業目的公衆送信補償金</t>
  </si>
  <si>
    <r>
      <rPr>
        <sz val="10"/>
        <rFont val="游ゴシック"/>
        <family val="0"/>
        <charset val="1"/>
      </rPr>
      <t xml:space="preserve">SARTRAS</t>
    </r>
    <r>
      <rPr>
        <sz val="10"/>
        <rFont val="Noto Sans CJK SC"/>
        <family val="2"/>
      </rPr>
      <t xml:space="preserve">（授業目的公衆送信補償金等管理協会）</t>
    </r>
  </si>
  <si>
    <t xml:space="preserve">図書館等公衆送信補償金</t>
  </si>
  <si>
    <t xml:space="preserve">指定管理団体</t>
  </si>
  <si>
    <r>
      <rPr>
        <b val="true"/>
        <sz val="10"/>
        <rFont val="游ゴシック"/>
        <family val="0"/>
        <charset val="1"/>
      </rPr>
      <t xml:space="preserve">CSC</t>
    </r>
    <r>
      <rPr>
        <b val="true"/>
        <sz val="10"/>
        <rFont val="Noto Sans CJK SC"/>
        <family val="2"/>
      </rPr>
      <t xml:space="preserve">一般負担金</t>
    </r>
  </si>
  <si>
    <t xml:space="preserve">エネルギー対策特別会計（原子力損害賠償支援勘定）</t>
  </si>
  <si>
    <r>
      <rPr>
        <sz val="10"/>
        <rFont val="Noto Sans CJK SC"/>
        <family val="2"/>
      </rPr>
      <t xml:space="preserve">未確定</t>
    </r>
    <r>
      <rPr>
        <sz val="10"/>
        <rFont val="游ゴシック"/>
        <family val="0"/>
        <charset val="1"/>
      </rPr>
      <t xml:space="preserve">(</t>
    </r>
    <r>
      <rPr>
        <sz val="10"/>
        <rFont val="Noto Sans CJK SC"/>
        <family val="2"/>
      </rPr>
      <t xml:space="preserve">規模は</t>
    </r>
    <r>
      <rPr>
        <sz val="10"/>
        <rFont val="游ゴシック"/>
        <family val="0"/>
        <charset val="1"/>
      </rPr>
      <t xml:space="preserve">R4</t>
    </r>
    <r>
      <rPr>
        <sz val="10"/>
        <rFont val="Noto Sans CJK SC"/>
        <family val="2"/>
      </rPr>
      <t xml:space="preserve">ベースで</t>
    </r>
    <r>
      <rPr>
        <sz val="10"/>
        <rFont val="游ゴシック"/>
        <family val="0"/>
        <charset val="1"/>
      </rPr>
      <t xml:space="preserve">1</t>
    </r>
    <r>
      <rPr>
        <sz val="10"/>
        <rFont val="Noto Sans CJK SC"/>
        <family val="2"/>
      </rPr>
      <t xml:space="preserve">億円程度</t>
    </r>
    <r>
      <rPr>
        <sz val="10"/>
        <rFont val="游ゴシック"/>
        <family val="0"/>
        <charset val="1"/>
      </rPr>
      <t xml:space="preserve">)</t>
    </r>
  </si>
  <si>
    <r>
      <rPr>
        <sz val="10"/>
        <rFont val="游ゴシック"/>
        <family val="0"/>
        <charset val="1"/>
      </rPr>
      <t xml:space="preserve">1</t>
    </r>
    <r>
      <rPr>
        <sz val="10"/>
        <rFont val="Noto Sans CJK SC"/>
        <family val="2"/>
      </rPr>
      <t xml:space="preserve">億</t>
    </r>
    <r>
      <rPr>
        <sz val="10"/>
        <rFont val="游ゴシック"/>
        <family val="0"/>
        <charset val="1"/>
      </rPr>
      <t xml:space="preserve">2,311</t>
    </r>
    <r>
      <rPr>
        <sz val="10"/>
        <rFont val="Noto Sans CJK SC"/>
        <family val="2"/>
      </rPr>
      <t xml:space="preserve">万円</t>
    </r>
  </si>
  <si>
    <r>
      <rPr>
        <sz val="10"/>
        <rFont val="Noto Sans CJK SC"/>
        <family val="2"/>
      </rPr>
      <t xml:space="preserve">原子力損害賠償支援勘定の歳入内訳</t>
    </r>
    <r>
      <rPr>
        <sz val="10"/>
        <rFont val="游ゴシック"/>
        <family val="0"/>
        <charset val="1"/>
      </rPr>
      <t xml:space="preserve">(11</t>
    </r>
    <r>
      <rPr>
        <sz val="10"/>
        <rFont val="Noto Sans CJK SC"/>
        <family val="2"/>
      </rPr>
      <t xml:space="preserve">兆</t>
    </r>
    <r>
      <rPr>
        <sz val="10"/>
        <rFont val="游ゴシック"/>
        <family val="0"/>
        <charset val="1"/>
      </rPr>
      <t xml:space="preserve">9,672</t>
    </r>
    <r>
      <rPr>
        <sz val="10"/>
        <rFont val="Noto Sans CJK SC"/>
        <family val="2"/>
      </rPr>
      <t xml:space="preserve">億円</t>
    </r>
    <r>
      <rPr>
        <sz val="10"/>
        <rFont val="游ゴシック"/>
        <family val="0"/>
        <charset val="1"/>
      </rPr>
      <t xml:space="preserve">)</t>
    </r>
    <r>
      <rPr>
        <sz val="10"/>
        <rFont val="Noto Sans CJK SC"/>
        <family val="2"/>
      </rPr>
      <t xml:space="preserve">に独立掲記なし。勘定の</t>
    </r>
    <r>
      <rPr>
        <sz val="10"/>
        <rFont val="游ゴシック"/>
        <family val="0"/>
        <charset val="1"/>
      </rPr>
      <t xml:space="preserve">0.001%</t>
    </r>
    <r>
      <rPr>
        <sz val="10"/>
        <rFont val="Noto Sans CJK SC"/>
        <family val="2"/>
      </rPr>
      <t xml:space="preserve">程度の極小項目</t>
    </r>
  </si>
  <si>
    <r>
      <rPr>
        <b val="true"/>
        <sz val="10"/>
        <rFont val="游ゴシック"/>
        <family val="0"/>
        <charset val="1"/>
      </rPr>
      <t xml:space="preserve">CSC</t>
    </r>
    <r>
      <rPr>
        <b val="true"/>
        <sz val="10"/>
        <rFont val="Noto Sans CJK SC"/>
        <family val="2"/>
      </rPr>
      <t xml:space="preserve">特別負担金</t>
    </r>
  </si>
  <si>
    <r>
      <rPr>
        <sz val="10"/>
        <rFont val="Noto Sans CJK SC"/>
        <family val="2"/>
      </rPr>
      <t xml:space="preserve">未確定</t>
    </r>
    <r>
      <rPr>
        <sz val="10"/>
        <rFont val="游ゴシック"/>
        <family val="0"/>
        <charset val="1"/>
      </rPr>
      <t xml:space="preserve">(R4</t>
    </r>
    <r>
      <rPr>
        <sz val="10"/>
        <rFont val="Noto Sans CJK SC"/>
        <family val="2"/>
      </rPr>
      <t xml:space="preserve">実績</t>
    </r>
    <r>
      <rPr>
        <sz val="10"/>
        <rFont val="游ゴシック"/>
        <family val="0"/>
        <charset val="1"/>
      </rPr>
      <t xml:space="preserve">0</t>
    </r>
    <r>
      <rPr>
        <sz val="10"/>
        <rFont val="Noto Sans CJK SC"/>
        <family val="2"/>
      </rPr>
      <t xml:space="preserve">円</t>
    </r>
    <r>
      <rPr>
        <sz val="10"/>
        <rFont val="游ゴシック"/>
        <family val="0"/>
        <charset val="1"/>
      </rPr>
      <t xml:space="preserve">)</t>
    </r>
  </si>
  <si>
    <t xml:space="preserve">認定事業者が東電のみのため現状発生なし</t>
  </si>
  <si>
    <t xml:space="preserve">厚生労働省</t>
  </si>
  <si>
    <t xml:space="preserve">年金保険料</t>
  </si>
  <si>
    <t xml:space="preserve">年金特別会計</t>
  </si>
  <si>
    <r>
      <rPr>
        <sz val="10"/>
        <rFont val="Noto Sans CJK SC"/>
        <family val="2"/>
      </rPr>
      <t xml:space="preserve">厚生年金</t>
    </r>
    <r>
      <rPr>
        <sz val="10"/>
        <rFont val="游ゴシック"/>
        <family val="0"/>
        <charset val="1"/>
      </rPr>
      <t xml:space="preserve">37</t>
    </r>
    <r>
      <rPr>
        <sz val="10"/>
        <rFont val="Noto Sans CJK SC"/>
        <family val="2"/>
      </rPr>
      <t xml:space="preserve">兆</t>
    </r>
    <r>
      <rPr>
        <sz val="10"/>
        <rFont val="游ゴシック"/>
        <family val="0"/>
        <charset val="1"/>
      </rPr>
      <t xml:space="preserve">5,687</t>
    </r>
    <r>
      <rPr>
        <sz val="10"/>
        <rFont val="Noto Sans CJK SC"/>
        <family val="2"/>
      </rPr>
      <t xml:space="preserve">億円＋国民年金</t>
    </r>
    <r>
      <rPr>
        <sz val="10"/>
        <rFont val="游ゴシック"/>
        <family val="0"/>
        <charset val="1"/>
      </rPr>
      <t xml:space="preserve">1</t>
    </r>
    <r>
      <rPr>
        <sz val="10"/>
        <rFont val="Noto Sans CJK SC"/>
        <family val="2"/>
      </rPr>
      <t xml:space="preserve">兆</t>
    </r>
    <r>
      <rPr>
        <sz val="10"/>
        <rFont val="游ゴシック"/>
        <family val="0"/>
        <charset val="1"/>
      </rPr>
      <t xml:space="preserve">3,221</t>
    </r>
    <r>
      <rPr>
        <sz val="10"/>
        <rFont val="Noto Sans CJK SC"/>
        <family val="2"/>
      </rPr>
      <t xml:space="preserve">億円</t>
    </r>
  </si>
  <si>
    <r>
      <rPr>
        <sz val="10"/>
        <rFont val="游ゴシック"/>
        <family val="0"/>
        <charset val="1"/>
      </rPr>
      <t xml:space="preserve">41</t>
    </r>
    <r>
      <rPr>
        <sz val="10"/>
        <rFont val="Noto Sans CJK SC"/>
        <family val="2"/>
      </rPr>
      <t xml:space="preserve">兆</t>
    </r>
    <r>
      <rPr>
        <sz val="10"/>
        <rFont val="游ゴシック"/>
        <family val="0"/>
        <charset val="1"/>
      </rPr>
      <t xml:space="preserve">791</t>
    </r>
    <r>
      <rPr>
        <sz val="10"/>
        <rFont val="Noto Sans CJK SC"/>
        <family val="2"/>
      </rPr>
      <t xml:space="preserve">億円</t>
    </r>
    <r>
      <rPr>
        <sz val="10"/>
        <rFont val="游ゴシック"/>
        <family val="0"/>
        <charset val="1"/>
      </rPr>
      <t xml:space="preserve">(</t>
    </r>
    <r>
      <rPr>
        <sz val="10"/>
        <rFont val="Noto Sans CJK SC"/>
        <family val="2"/>
      </rPr>
      <t xml:space="preserve">合算</t>
    </r>
    <r>
      <rPr>
        <sz val="10"/>
        <rFont val="游ゴシック"/>
        <family val="0"/>
        <charset val="1"/>
      </rPr>
      <t xml:space="preserve">)</t>
    </r>
  </si>
  <si>
    <t xml:space="preserve">確定値（各目明細書）</t>
  </si>
  <si>
    <t xml:space="preserve">医療保険料</t>
  </si>
  <si>
    <t xml:space="preserve">保険者</t>
  </si>
  <si>
    <t xml:space="preserve">協会けんぽ・健保組合・市町村国保・後期高齢者医療広域連合</t>
  </si>
  <si>
    <t xml:space="preserve">介護保険料</t>
  </si>
  <si>
    <t xml:space="preserve">地方公共団体</t>
  </si>
  <si>
    <t xml:space="preserve">市町村（介護保険特別会計）</t>
  </si>
  <si>
    <t xml:space="preserve">雇用保険料</t>
  </si>
  <si>
    <t xml:space="preserve">労働保険特別会計雇用勘定</t>
  </si>
  <si>
    <r>
      <rPr>
        <sz val="10"/>
        <rFont val="游ゴシック"/>
        <family val="0"/>
        <charset val="1"/>
      </rPr>
      <t xml:space="preserve">2</t>
    </r>
    <r>
      <rPr>
        <sz val="10"/>
        <rFont val="Noto Sans CJK SC"/>
        <family val="2"/>
      </rPr>
      <t xml:space="preserve">兆</t>
    </r>
    <r>
      <rPr>
        <sz val="10"/>
        <rFont val="游ゴシック"/>
        <family val="0"/>
        <charset val="1"/>
      </rPr>
      <t xml:space="preserve">1,943</t>
    </r>
    <r>
      <rPr>
        <sz val="10"/>
        <rFont val="Noto Sans CJK SC"/>
        <family val="2"/>
      </rPr>
      <t xml:space="preserve">億円</t>
    </r>
  </si>
  <si>
    <r>
      <rPr>
        <sz val="10"/>
        <rFont val="游ゴシック"/>
        <family val="0"/>
        <charset val="1"/>
      </rPr>
      <t xml:space="preserve">2</t>
    </r>
    <r>
      <rPr>
        <sz val="10"/>
        <rFont val="Noto Sans CJK SC"/>
        <family val="2"/>
      </rPr>
      <t xml:space="preserve">兆</t>
    </r>
    <r>
      <rPr>
        <sz val="10"/>
        <rFont val="游ゴシック"/>
        <family val="0"/>
        <charset val="1"/>
      </rPr>
      <t xml:space="preserve">2,427</t>
    </r>
    <r>
      <rPr>
        <sz val="10"/>
        <rFont val="Noto Sans CJK SC"/>
        <family val="2"/>
      </rPr>
      <t xml:space="preserve">億円</t>
    </r>
  </si>
  <si>
    <t xml:space="preserve">労災保険料</t>
  </si>
  <si>
    <t xml:space="preserve">労働保険特別会計労災勘定</t>
  </si>
  <si>
    <r>
      <rPr>
        <sz val="10"/>
        <rFont val="游ゴシック"/>
        <family val="0"/>
        <charset val="1"/>
      </rPr>
      <t xml:space="preserve">1</t>
    </r>
    <r>
      <rPr>
        <sz val="10"/>
        <rFont val="Noto Sans CJK SC"/>
        <family val="2"/>
      </rPr>
      <t xml:space="preserve">兆</t>
    </r>
    <r>
      <rPr>
        <sz val="10"/>
        <rFont val="游ゴシック"/>
        <family val="0"/>
        <charset val="1"/>
      </rPr>
      <t xml:space="preserve">176</t>
    </r>
    <r>
      <rPr>
        <sz val="10"/>
        <rFont val="Noto Sans CJK SC"/>
        <family val="2"/>
      </rPr>
      <t xml:space="preserve">億円</t>
    </r>
  </si>
  <si>
    <r>
      <rPr>
        <sz val="10"/>
        <rFont val="游ゴシック"/>
        <family val="0"/>
        <charset val="1"/>
      </rPr>
      <t xml:space="preserve">8,908</t>
    </r>
    <r>
      <rPr>
        <sz val="10"/>
        <rFont val="Noto Sans CJK SC"/>
        <family val="2"/>
      </rPr>
      <t xml:space="preserve">億円</t>
    </r>
  </si>
  <si>
    <t xml:space="preserve">障害者雇用納付金</t>
  </si>
  <si>
    <t xml:space="preserve">高齢・障害・求職者雇用支援機構</t>
  </si>
  <si>
    <t xml:space="preserve">副作用拠出金</t>
  </si>
  <si>
    <r>
      <rPr>
        <sz val="10"/>
        <rFont val="Noto Sans CJK SC"/>
        <family val="2"/>
      </rPr>
      <t xml:space="preserve">医薬品医療機器総合機構（</t>
    </r>
    <r>
      <rPr>
        <sz val="10"/>
        <rFont val="游ゴシック"/>
        <family val="0"/>
        <charset val="1"/>
      </rPr>
      <t xml:space="preserve">PMDA</t>
    </r>
    <r>
      <rPr>
        <sz val="10"/>
        <rFont val="Noto Sans CJK SC"/>
        <family val="2"/>
      </rPr>
      <t xml:space="preserve">）</t>
    </r>
  </si>
  <si>
    <t xml:space="preserve">感染拠出金</t>
  </si>
  <si>
    <t xml:space="preserve">PMDA</t>
  </si>
  <si>
    <t xml:space="preserve">医薬品等安全対策等拠出金</t>
  </si>
  <si>
    <t xml:space="preserve">特定救済拠出金</t>
  </si>
  <si>
    <t xml:space="preserve">農林水産省</t>
  </si>
  <si>
    <t xml:space="preserve">輸入糖調整金</t>
  </si>
  <si>
    <t xml:space="preserve">農畜産業振興機構</t>
  </si>
  <si>
    <t xml:space="preserve">貯金保険機構 保険料</t>
  </si>
  <si>
    <t xml:space="preserve">農水産業協同組合貯金保険機構</t>
  </si>
  <si>
    <t xml:space="preserve">貯金保険機構 負担金</t>
  </si>
  <si>
    <t xml:space="preserve">貯金保険機構 特定負担金</t>
  </si>
  <si>
    <t xml:space="preserve">特例業務負担金</t>
  </si>
  <si>
    <t xml:space="preserve">共済組合等</t>
  </si>
  <si>
    <t xml:space="preserve">農林漁業団体職員共済組合</t>
  </si>
  <si>
    <t xml:space="preserve">経済産業省</t>
  </si>
  <si>
    <t xml:space="preserve">再エネ賦課金</t>
  </si>
  <si>
    <t xml:space="preserve">民間事業者経由</t>
  </si>
  <si>
    <t xml:space="preserve">一般送配電事業者（費用負担調整機関経由）</t>
  </si>
  <si>
    <t xml:space="preserve">廃炉円滑化負担金</t>
  </si>
  <si>
    <r>
      <rPr>
        <sz val="10"/>
        <rFont val="Noto Sans CJK SC"/>
        <family val="2"/>
      </rPr>
      <t xml:space="preserve">原子力発電環境整備機構（</t>
    </r>
    <r>
      <rPr>
        <sz val="10"/>
        <rFont val="游ゴシック"/>
        <family val="0"/>
        <charset val="1"/>
      </rPr>
      <t xml:space="preserve">NUMO</t>
    </r>
    <r>
      <rPr>
        <sz val="10"/>
        <rFont val="Noto Sans CJK SC"/>
        <family val="2"/>
      </rPr>
      <t xml:space="preserve">）</t>
    </r>
  </si>
  <si>
    <t xml:space="preserve">電気事業法施行規則に基づく賠償負担金</t>
  </si>
  <si>
    <t xml:space="preserve">原子力損害賠償・廃炉等支援機構</t>
  </si>
  <si>
    <t xml:space="preserve">再処理等拠出金</t>
  </si>
  <si>
    <t xml:space="preserve">使用済燃料再処理機構</t>
  </si>
  <si>
    <t xml:space="preserve">廃炉拠出金</t>
  </si>
  <si>
    <t xml:space="preserve">高レベル放射性廃棄物拠出金</t>
  </si>
  <si>
    <r>
      <rPr>
        <sz val="10"/>
        <rFont val="游ゴシック"/>
        <family val="0"/>
        <charset val="1"/>
      </rPr>
      <t xml:space="preserve">TRU</t>
    </r>
    <r>
      <rPr>
        <sz val="10"/>
        <rFont val="Noto Sans CJK SC"/>
        <family val="2"/>
      </rPr>
      <t xml:space="preserve">廃棄物拠出金</t>
    </r>
  </si>
  <si>
    <t xml:space="preserve">NUMO</t>
  </si>
  <si>
    <t xml:space="preserve">原賠機構 一般負担金</t>
  </si>
  <si>
    <t xml:space="preserve">原賠機構 特別負担金</t>
  </si>
  <si>
    <t xml:space="preserve">化石燃料賦課金</t>
  </si>
  <si>
    <r>
      <rPr>
        <sz val="10"/>
        <rFont val="Noto Sans CJK SC"/>
        <family val="2"/>
      </rPr>
      <t xml:space="preserve">エネルギー対策特別会計（令和</t>
    </r>
    <r>
      <rPr>
        <sz val="10"/>
        <rFont val="游ゴシック"/>
        <family val="0"/>
        <charset val="1"/>
      </rPr>
      <t xml:space="preserve">10</t>
    </r>
    <r>
      <rPr>
        <sz val="10"/>
        <rFont val="Noto Sans CJK SC"/>
        <family val="2"/>
      </rPr>
      <t xml:space="preserve">年度徴収開始）</t>
    </r>
  </si>
  <si>
    <r>
      <rPr>
        <sz val="10"/>
        <rFont val="Noto Sans CJK SC"/>
        <family val="2"/>
      </rPr>
      <t xml:space="preserve">未発生</t>
    </r>
    <r>
      <rPr>
        <sz val="10"/>
        <rFont val="游ゴシック"/>
        <family val="0"/>
        <charset val="1"/>
      </rPr>
      <t xml:space="preserve">(R10</t>
    </r>
    <r>
      <rPr>
        <sz val="10"/>
        <rFont val="Noto Sans CJK SC"/>
        <family val="2"/>
      </rPr>
      <t xml:space="preserve">年度徴収開始</t>
    </r>
    <r>
      <rPr>
        <sz val="10"/>
        <rFont val="游ゴシック"/>
        <family val="0"/>
        <charset val="1"/>
      </rPr>
      <t xml:space="preserve">)</t>
    </r>
  </si>
  <si>
    <t xml:space="preserve">未発生</t>
  </si>
  <si>
    <r>
      <rPr>
        <sz val="10"/>
        <rFont val="游ゴシック"/>
        <family val="0"/>
        <charset val="1"/>
      </rPr>
      <t xml:space="preserve">GX</t>
    </r>
    <r>
      <rPr>
        <sz val="10"/>
        <rFont val="Noto Sans CJK SC"/>
        <family val="2"/>
      </rPr>
      <t xml:space="preserve">推進法に基づき令和</t>
    </r>
    <r>
      <rPr>
        <sz val="10"/>
        <rFont val="游ゴシック"/>
        <family val="0"/>
        <charset val="1"/>
      </rPr>
      <t xml:space="preserve">10</t>
    </r>
    <r>
      <rPr>
        <sz val="10"/>
        <rFont val="Noto Sans CJK SC"/>
        <family val="2"/>
      </rPr>
      <t xml:space="preserve">年度開始予定</t>
    </r>
  </si>
  <si>
    <r>
      <rPr>
        <b val="true"/>
        <sz val="10"/>
        <rFont val="Noto Sans CJK SC"/>
        <family val="2"/>
      </rPr>
      <t xml:space="preserve">特定事業者負担金（</t>
    </r>
    <r>
      <rPr>
        <b val="true"/>
        <sz val="10"/>
        <rFont val="游ゴシック"/>
        <family val="0"/>
        <charset val="1"/>
      </rPr>
      <t xml:space="preserve">GX</t>
    </r>
    <r>
      <rPr>
        <b val="true"/>
        <sz val="10"/>
        <rFont val="Noto Sans CJK SC"/>
        <family val="2"/>
      </rPr>
      <t xml:space="preserve">）</t>
    </r>
  </si>
  <si>
    <r>
      <rPr>
        <sz val="10"/>
        <rFont val="Noto Sans CJK SC"/>
        <family val="2"/>
      </rPr>
      <t xml:space="preserve">エネルギー対策特別会計（令和</t>
    </r>
    <r>
      <rPr>
        <sz val="10"/>
        <rFont val="游ゴシック"/>
        <family val="0"/>
        <charset val="1"/>
      </rPr>
      <t xml:space="preserve">15</t>
    </r>
    <r>
      <rPr>
        <sz val="10"/>
        <rFont val="Noto Sans CJK SC"/>
        <family val="2"/>
      </rPr>
      <t xml:space="preserve">年度徴収開始）</t>
    </r>
  </si>
  <si>
    <r>
      <rPr>
        <sz val="10"/>
        <rFont val="Noto Sans CJK SC"/>
        <family val="2"/>
      </rPr>
      <t xml:space="preserve">未発生</t>
    </r>
    <r>
      <rPr>
        <sz val="10"/>
        <rFont val="游ゴシック"/>
        <family val="0"/>
        <charset val="1"/>
      </rPr>
      <t xml:space="preserve">(R15</t>
    </r>
    <r>
      <rPr>
        <sz val="10"/>
        <rFont val="Noto Sans CJK SC"/>
        <family val="2"/>
      </rPr>
      <t xml:space="preserve">年度徴収開始</t>
    </r>
    <r>
      <rPr>
        <sz val="10"/>
        <rFont val="游ゴシック"/>
        <family val="0"/>
        <charset val="1"/>
      </rPr>
      <t xml:space="preserve">)</t>
    </r>
  </si>
  <si>
    <r>
      <rPr>
        <sz val="10"/>
        <rFont val="游ゴシック"/>
        <family val="0"/>
        <charset val="1"/>
      </rPr>
      <t xml:space="preserve">GX</t>
    </r>
    <r>
      <rPr>
        <sz val="10"/>
        <rFont val="Noto Sans CJK SC"/>
        <family val="2"/>
      </rPr>
      <t xml:space="preserve">推進法に基づき令和</t>
    </r>
    <r>
      <rPr>
        <sz val="10"/>
        <rFont val="游ゴシック"/>
        <family val="0"/>
        <charset val="1"/>
      </rPr>
      <t xml:space="preserve">15</t>
    </r>
    <r>
      <rPr>
        <sz val="10"/>
        <rFont val="Noto Sans CJK SC"/>
        <family val="2"/>
      </rPr>
      <t xml:space="preserve">年度開始予定</t>
    </r>
  </si>
  <si>
    <t xml:space="preserve">鉱害防止事業基金拠出金</t>
  </si>
  <si>
    <t xml:space="preserve">国（鉱害防止事業基金）</t>
  </si>
  <si>
    <t xml:space="preserve">制度上存在するが近年実績なし</t>
  </si>
  <si>
    <t xml:space="preserve">国土交通省</t>
  </si>
  <si>
    <t xml:space="preserve">鉄道バリアフリー料金</t>
  </si>
  <si>
    <t xml:space="preserve">鉄道事業者（運賃に付加）</t>
  </si>
  <si>
    <t xml:space="preserve">港湾運送事業拠出金</t>
  </si>
  <si>
    <t xml:space="preserve">日本港湾福利厚生協会等（法令外）</t>
  </si>
  <si>
    <t xml:space="preserve">港湾環境整備負担金</t>
  </si>
  <si>
    <t xml:space="preserve">国／地方公共団体</t>
  </si>
  <si>
    <t xml:space="preserve">国（国交大臣負担分）または港湾管理者</t>
  </si>
  <si>
    <r>
      <rPr>
        <sz val="10"/>
        <rFont val="游ゴシック"/>
        <family val="0"/>
        <charset val="1"/>
      </rPr>
      <t xml:space="preserve">0</t>
    </r>
    <r>
      <rPr>
        <sz val="10"/>
        <rFont val="Noto Sans CJK SC"/>
        <family val="2"/>
      </rPr>
      <t xml:space="preserve">円</t>
    </r>
    <r>
      <rPr>
        <sz val="10"/>
        <rFont val="游ゴシック"/>
        <family val="0"/>
        <charset val="1"/>
      </rPr>
      <t xml:space="preserve">(</t>
    </r>
    <r>
      <rPr>
        <sz val="10"/>
        <rFont val="Noto Sans CJK SC"/>
        <family val="2"/>
      </rPr>
      <t xml:space="preserve">国交大臣負担分</t>
    </r>
    <r>
      <rPr>
        <sz val="10"/>
        <rFont val="游ゴシック"/>
        <family val="0"/>
        <charset val="1"/>
      </rPr>
      <t xml:space="preserve">)</t>
    </r>
  </si>
  <si>
    <r>
      <rPr>
        <sz val="10"/>
        <rFont val="游ゴシック"/>
        <family val="0"/>
        <charset val="1"/>
      </rPr>
      <t xml:space="preserve">R4</t>
    </r>
    <r>
      <rPr>
        <sz val="10"/>
        <rFont val="Noto Sans CJK SC"/>
        <family val="2"/>
      </rPr>
      <t xml:space="preserve">実績</t>
    </r>
    <r>
      <rPr>
        <sz val="10"/>
        <rFont val="游ゴシック"/>
        <family val="0"/>
        <charset val="1"/>
      </rPr>
      <t xml:space="preserve">0</t>
    </r>
    <r>
      <rPr>
        <sz val="10"/>
        <rFont val="Noto Sans CJK SC"/>
        <family val="2"/>
      </rPr>
      <t xml:space="preserve">円。地方管理者分は別途</t>
    </r>
  </si>
  <si>
    <t xml:space="preserve">東京タクシーセンター事業者負担金</t>
  </si>
  <si>
    <t xml:space="preserve">指定法人</t>
  </si>
  <si>
    <t xml:space="preserve">東京タクシーセンター</t>
  </si>
  <si>
    <t xml:space="preserve">自動車事故対策事業賦課金</t>
  </si>
  <si>
    <t xml:space="preserve">自動車安全特別会計自動車事故対策勘定</t>
  </si>
  <si>
    <r>
      <rPr>
        <sz val="10"/>
        <rFont val="Noto Sans CJK SC"/>
        <family val="2"/>
      </rPr>
      <t xml:space="preserve">概算</t>
    </r>
    <r>
      <rPr>
        <sz val="10"/>
        <rFont val="游ゴシック"/>
        <family val="0"/>
        <charset val="1"/>
      </rPr>
      <t xml:space="preserve">251</t>
    </r>
    <r>
      <rPr>
        <sz val="10"/>
        <rFont val="Noto Sans CJK SC"/>
        <family val="2"/>
      </rPr>
      <t xml:space="preserve">億円の内数</t>
    </r>
    <r>
      <rPr>
        <sz val="10"/>
        <rFont val="游ゴシック"/>
        <family val="0"/>
        <charset val="1"/>
      </rPr>
      <t xml:space="preserve">(</t>
    </r>
    <r>
      <rPr>
        <sz val="10"/>
        <rFont val="Noto Sans CJK SC"/>
        <family val="2"/>
      </rPr>
      <t xml:space="preserve">自動車安全特会全体</t>
    </r>
    <r>
      <rPr>
        <sz val="10"/>
        <rFont val="游ゴシック"/>
        <family val="0"/>
        <charset val="1"/>
      </rPr>
      <t xml:space="preserve">)</t>
    </r>
  </si>
  <si>
    <r>
      <rPr>
        <sz val="10"/>
        <rFont val="游ゴシック"/>
        <family val="0"/>
        <charset val="1"/>
      </rPr>
      <t xml:space="preserve">13</t>
    </r>
    <r>
      <rPr>
        <sz val="10"/>
        <rFont val="Noto Sans CJK SC"/>
        <family val="2"/>
      </rPr>
      <t xml:space="preserve">億円</t>
    </r>
  </si>
  <si>
    <r>
      <rPr>
        <sz val="10"/>
        <rFont val="Noto Sans CJK SC"/>
        <family val="2"/>
      </rPr>
      <t xml:space="preserve">各目明細書の款項ラベルが</t>
    </r>
    <r>
      <rPr>
        <sz val="10"/>
        <rFont val="游ゴシック"/>
        <family val="0"/>
        <charset val="1"/>
      </rPr>
      <t xml:space="preserve">PDF</t>
    </r>
    <r>
      <rPr>
        <sz val="10"/>
        <rFont val="Noto Sans CJK SC"/>
        <family val="2"/>
      </rPr>
      <t xml:space="preserve">抽出で消失</t>
    </r>
  </si>
  <si>
    <t xml:space="preserve">多目的ダムに係る負担金</t>
  </si>
  <si>
    <t xml:space="preserve">一般会計（治水関連）</t>
  </si>
  <si>
    <r>
      <rPr>
        <sz val="10"/>
        <rFont val="Noto Sans CJK SC"/>
        <family val="2"/>
      </rPr>
      <t xml:space="preserve">未確定</t>
    </r>
    <r>
      <rPr>
        <sz val="10"/>
        <rFont val="游ゴシック"/>
        <family val="0"/>
        <charset val="1"/>
      </rPr>
      <t xml:space="preserve">(</t>
    </r>
    <r>
      <rPr>
        <sz val="10"/>
        <rFont val="Noto Sans CJK SC"/>
        <family val="2"/>
      </rPr>
      <t xml:space="preserve">内数表示</t>
    </r>
    <r>
      <rPr>
        <sz val="10"/>
        <rFont val="游ゴシック"/>
        <family val="0"/>
        <charset val="1"/>
      </rPr>
      <t xml:space="preserve">)</t>
    </r>
  </si>
  <si>
    <r>
      <rPr>
        <sz val="10"/>
        <rFont val="游ゴシック"/>
        <family val="0"/>
        <charset val="1"/>
      </rPr>
      <t xml:space="preserve">254</t>
    </r>
    <r>
      <rPr>
        <sz val="10"/>
        <rFont val="Noto Sans CJK SC"/>
        <family val="2"/>
      </rPr>
      <t xml:space="preserve">億円の内数</t>
    </r>
  </si>
  <si>
    <t xml:space="preserve">歳入予算明細書が一般公開ウェブになし</t>
  </si>
  <si>
    <t xml:space="preserve">共同溝の整備等に関する負担金</t>
  </si>
  <si>
    <t xml:space="preserve">一般会計（道路整備関連）</t>
  </si>
  <si>
    <r>
      <rPr>
        <sz val="10"/>
        <rFont val="游ゴシック"/>
        <family val="0"/>
        <charset val="1"/>
      </rPr>
      <t xml:space="preserve">152</t>
    </r>
    <r>
      <rPr>
        <sz val="10"/>
        <rFont val="Noto Sans CJK SC"/>
        <family val="2"/>
      </rPr>
      <t xml:space="preserve">億円の内数</t>
    </r>
  </si>
  <si>
    <t xml:space="preserve">同上</t>
  </si>
  <si>
    <t xml:space="preserve">国際基金に対する年次拠出金</t>
  </si>
  <si>
    <t xml:space="preserve">国際機関</t>
  </si>
  <si>
    <r>
      <rPr>
        <sz val="10"/>
        <rFont val="Noto Sans CJK SC"/>
        <family val="2"/>
      </rPr>
      <t xml:space="preserve">国際油濁補償基金（</t>
    </r>
    <r>
      <rPr>
        <sz val="10"/>
        <rFont val="游ゴシック"/>
        <family val="0"/>
        <charset val="1"/>
      </rPr>
      <t xml:space="preserve">IOPC Fund</t>
    </r>
    <r>
      <rPr>
        <sz val="10"/>
        <rFont val="Noto Sans CJK SC"/>
        <family val="2"/>
      </rPr>
      <t xml:space="preserve">）</t>
    </r>
  </si>
  <si>
    <t xml:space="preserve">追加基金に対する年次拠出金</t>
  </si>
  <si>
    <t xml:space="preserve">国際油濁補償基金 追加基金</t>
  </si>
  <si>
    <t xml:space="preserve">電線共同溝の建設負担金</t>
  </si>
  <si>
    <r>
      <rPr>
        <sz val="10"/>
        <rFont val="游ゴシック"/>
        <family val="0"/>
        <charset val="1"/>
      </rPr>
      <t xml:space="preserve">152</t>
    </r>
    <r>
      <rPr>
        <sz val="10"/>
        <rFont val="Noto Sans CJK SC"/>
        <family val="2"/>
      </rPr>
      <t xml:space="preserve">億円の内数</t>
    </r>
    <r>
      <rPr>
        <sz val="10"/>
        <rFont val="游ゴシック"/>
        <family val="0"/>
        <charset val="1"/>
      </rPr>
      <t xml:space="preserve">(</t>
    </r>
    <r>
      <rPr>
        <sz val="10"/>
        <rFont val="Noto Sans CJK SC"/>
        <family val="2"/>
      </rPr>
      <t xml:space="preserve">共同溝と合算</t>
    </r>
    <r>
      <rPr>
        <sz val="10"/>
        <rFont val="游ゴシック"/>
        <family val="0"/>
        <charset val="1"/>
      </rPr>
      <t xml:space="preserve">)</t>
    </r>
  </si>
  <si>
    <t xml:space="preserve">電線共同溝の占用負担金</t>
  </si>
  <si>
    <r>
      <rPr>
        <sz val="10"/>
        <rFont val="游ゴシック"/>
        <family val="0"/>
        <charset val="1"/>
      </rPr>
      <t xml:space="preserve">113</t>
    </r>
    <r>
      <rPr>
        <sz val="10"/>
        <rFont val="Noto Sans CJK SC"/>
        <family val="2"/>
      </rPr>
      <t xml:space="preserve">億円の内数</t>
    </r>
  </si>
  <si>
    <t xml:space="preserve">電線共同溝の管理負担金</t>
  </si>
  <si>
    <r>
      <rPr>
        <sz val="10"/>
        <rFont val="游ゴシック"/>
        <family val="0"/>
        <charset val="1"/>
      </rPr>
      <t xml:space="preserve">R4</t>
    </r>
    <r>
      <rPr>
        <sz val="10"/>
        <rFont val="Noto Sans CJK SC"/>
        <family val="2"/>
      </rPr>
      <t xml:space="preserve">実績</t>
    </r>
    <r>
      <rPr>
        <sz val="10"/>
        <rFont val="游ゴシック"/>
        <family val="0"/>
        <charset val="1"/>
      </rPr>
      <t xml:space="preserve">0</t>
    </r>
    <r>
      <rPr>
        <sz val="10"/>
        <rFont val="Noto Sans CJK SC"/>
        <family val="2"/>
      </rPr>
      <t xml:space="preserve">円</t>
    </r>
  </si>
  <si>
    <t xml:space="preserve">特定施設かんがい負担金</t>
  </si>
  <si>
    <t xml:space="preserve">水資源機構</t>
  </si>
  <si>
    <t xml:space="preserve">水道・工業用水負担金</t>
  </si>
  <si>
    <r>
      <rPr>
        <sz val="10"/>
        <rFont val="游ゴシック"/>
        <family val="0"/>
        <charset val="1"/>
      </rPr>
      <t xml:space="preserve">300</t>
    </r>
    <r>
      <rPr>
        <sz val="10"/>
        <rFont val="Noto Sans CJK SC"/>
        <family val="2"/>
      </rPr>
      <t xml:space="preserve">億円の内数</t>
    </r>
  </si>
  <si>
    <t xml:space="preserve">水資源機構への財源繰入の内数</t>
  </si>
  <si>
    <t xml:space="preserve">環境省</t>
  </si>
  <si>
    <t xml:space="preserve">石綿健康被害救済一般拠出金</t>
  </si>
  <si>
    <t xml:space="preserve">労働保険特別会計徴収勘定（環境再生保全機構へ移替）</t>
  </si>
  <si>
    <r>
      <rPr>
        <sz val="10"/>
        <rFont val="Noto Sans CJK SC"/>
        <family val="2"/>
      </rPr>
      <t xml:space="preserve">概算</t>
    </r>
    <r>
      <rPr>
        <sz val="10"/>
        <rFont val="游ゴシック"/>
        <family val="0"/>
        <charset val="1"/>
      </rPr>
      <t xml:space="preserve">44</t>
    </r>
    <r>
      <rPr>
        <sz val="10"/>
        <rFont val="Noto Sans CJK SC"/>
        <family val="2"/>
      </rPr>
      <t xml:space="preserve">億円</t>
    </r>
    <r>
      <rPr>
        <sz val="10"/>
        <rFont val="游ゴシック"/>
        <family val="0"/>
        <charset val="1"/>
      </rPr>
      <t xml:space="preserve">(</t>
    </r>
    <r>
      <rPr>
        <sz val="10"/>
        <rFont val="Noto Sans CJK SC"/>
        <family val="2"/>
      </rPr>
      <t xml:space="preserve">料率</t>
    </r>
    <r>
      <rPr>
        <sz val="10"/>
        <rFont val="游ゴシック"/>
        <family val="0"/>
        <charset val="1"/>
      </rPr>
      <t xml:space="preserve">0.02‰</t>
    </r>
    <r>
      <rPr>
        <sz val="10"/>
        <rFont val="Noto Sans CJK SC"/>
        <family val="2"/>
      </rPr>
      <t xml:space="preserve">からの試算</t>
    </r>
    <r>
      <rPr>
        <sz val="10"/>
        <rFont val="游ゴシック"/>
        <family val="0"/>
        <charset val="1"/>
      </rPr>
      <t xml:space="preserve">)</t>
    </r>
  </si>
  <si>
    <r>
      <rPr>
        <sz val="10"/>
        <rFont val="游ゴシック"/>
        <family val="0"/>
        <charset val="1"/>
      </rPr>
      <t xml:space="preserve">33</t>
    </r>
    <r>
      <rPr>
        <sz val="10"/>
        <rFont val="Noto Sans CJK SC"/>
        <family val="2"/>
      </rPr>
      <t xml:space="preserve">億</t>
    </r>
    <r>
      <rPr>
        <sz val="10"/>
        <rFont val="游ゴシック"/>
        <family val="0"/>
        <charset val="1"/>
      </rPr>
      <t xml:space="preserve">9,838</t>
    </r>
    <r>
      <rPr>
        <sz val="10"/>
        <rFont val="Noto Sans CJK SC"/>
        <family val="2"/>
      </rPr>
      <t xml:space="preserve">万円</t>
    </r>
  </si>
  <si>
    <t xml:space="preserve">労災保険料と合算徴収のため不分離</t>
  </si>
  <si>
    <t xml:space="preserve">石綿健康被害救済特別拠出金</t>
  </si>
  <si>
    <t xml:space="preserve">環境再生保全機構（直接）</t>
  </si>
  <si>
    <t xml:space="preserve">汚染負荷量賦課金</t>
  </si>
  <si>
    <t xml:space="preserve">環境再生保全機構</t>
  </si>
  <si>
    <t xml:space="preserve">公害健康被害補償法 特定賦課金</t>
  </si>
  <si>
    <t xml:space="preserve">公害防止事業費事業者負担金</t>
  </si>
  <si>
    <t xml:space="preserve">国または施行者（地方公共団体含む）</t>
  </si>
  <si>
    <r>
      <rPr>
        <sz val="10"/>
        <rFont val="Noto Sans CJK SC"/>
        <family val="2"/>
      </rPr>
      <t xml:space="preserve">把握不能</t>
    </r>
    <r>
      <rPr>
        <sz val="10"/>
        <rFont val="游ゴシック"/>
        <family val="0"/>
        <charset val="1"/>
      </rPr>
      <t xml:space="preserve">(</t>
    </r>
    <r>
      <rPr>
        <sz val="10"/>
        <rFont val="Noto Sans CJK SC"/>
        <family val="2"/>
      </rPr>
      <t xml:space="preserve">地方分含む</t>
    </r>
    <r>
      <rPr>
        <sz val="10"/>
        <rFont val="游ゴシック"/>
        <family val="0"/>
        <charset val="1"/>
      </rPr>
      <t xml:space="preserve">)</t>
    </r>
  </si>
  <si>
    <t xml:space="preserve">政府が把握不要としている</t>
  </si>
  <si>
    <t xml:space="preserve">水俣病補償賦課金</t>
  </si>
  <si>
    <t xml:space="preserve">国（株式譲渡益原資、未発動）</t>
  </si>
  <si>
    <t xml:space="preserve">未発動</t>
  </si>
  <si>
    <r>
      <rPr>
        <sz val="10"/>
        <rFont val="Noto Sans CJK SC"/>
        <family val="2"/>
      </rPr>
      <t xml:space="preserve">把握していない</t>
    </r>
    <r>
      <rPr>
        <sz val="10"/>
        <rFont val="游ゴシック"/>
        <family val="0"/>
        <charset val="1"/>
      </rPr>
      <t xml:space="preserve">(</t>
    </r>
    <r>
      <rPr>
        <sz val="10"/>
        <rFont val="Noto Sans CJK SC"/>
        <family val="2"/>
      </rPr>
      <t xml:space="preserve">未発動</t>
    </r>
    <r>
      <rPr>
        <sz val="10"/>
        <rFont val="游ゴシック"/>
        <family val="0"/>
        <charset val="1"/>
      </rPr>
      <t xml:space="preserve">)</t>
    </r>
  </si>
  <si>
    <t xml:space="preserve">前提となる株式譲渡が未実施</t>
  </si>
  <si>
    <t xml:space="preserve">農水省・経産省共管</t>
  </si>
  <si>
    <t xml:space="preserve">日本商品委託者保護基金負担金</t>
  </si>
  <si>
    <t xml:space="preserve">日本商品委託者保護基金</t>
  </si>
  <si>
    <r>
      <rPr>
        <sz val="10"/>
        <rFont val="Noto Sans CJK SC"/>
        <family val="2"/>
      </rPr>
      <t xml:space="preserve">緑網掛け＝条文上「国の予算（一般会計・特別会計）」が納付先と確定できるもの（</t>
    </r>
    <r>
      <rPr>
        <sz val="10"/>
        <rFont val="游ゴシック"/>
        <family val="0"/>
        <charset val="1"/>
      </rPr>
      <t xml:space="preserve">22</t>
    </r>
    <r>
      <rPr>
        <sz val="10"/>
        <rFont val="Noto Sans CJK SC"/>
        <family val="2"/>
      </rPr>
      <t xml:space="preserve">件）。</t>
    </r>
  </si>
  <si>
    <r>
      <rPr>
        <sz val="10"/>
        <rFont val="Noto Sans CJK SC"/>
        <family val="2"/>
      </rPr>
      <t xml:space="preserve">それ以外（</t>
    </r>
    <r>
      <rPr>
        <sz val="10"/>
        <rFont val="游ゴシック"/>
        <family val="0"/>
        <charset val="1"/>
      </rPr>
      <t xml:space="preserve">48</t>
    </r>
    <r>
      <rPr>
        <sz val="10"/>
        <rFont val="Noto Sans CJK SC"/>
        <family val="2"/>
      </rPr>
      <t xml:space="preserve">件）は、認可法人・独立行政法人・民間団体・国際機関・地方公共団体・保険者等、国の予算を経由しない第三者機関への直接納付。</t>
    </r>
  </si>
  <si>
    <r>
      <rPr>
        <i val="true"/>
        <sz val="9"/>
        <color rgb="FF666666"/>
        <rFont val="Noto Sans CJK SC"/>
        <family val="2"/>
      </rPr>
      <t xml:space="preserve">【確定値の合計（社会保険料中心）】厚生年金</t>
    </r>
    <r>
      <rPr>
        <i val="true"/>
        <sz val="9"/>
        <color rgb="FF666666"/>
        <rFont val="游ゴシック"/>
        <family val="0"/>
        <charset val="1"/>
      </rPr>
      <t xml:space="preserve">37</t>
    </r>
    <r>
      <rPr>
        <i val="true"/>
        <sz val="9"/>
        <color rgb="FF666666"/>
        <rFont val="Noto Sans CJK SC"/>
        <family val="2"/>
      </rPr>
      <t xml:space="preserve">兆</t>
    </r>
    <r>
      <rPr>
        <i val="true"/>
        <sz val="9"/>
        <color rgb="FF666666"/>
        <rFont val="游ゴシック"/>
        <family val="0"/>
        <charset val="1"/>
      </rPr>
      <t xml:space="preserve">5,687</t>
    </r>
    <r>
      <rPr>
        <i val="true"/>
        <sz val="9"/>
        <color rgb="FF666666"/>
        <rFont val="Noto Sans CJK SC"/>
        <family val="2"/>
      </rPr>
      <t xml:space="preserve">億円＋国民年金</t>
    </r>
    <r>
      <rPr>
        <i val="true"/>
        <sz val="9"/>
        <color rgb="FF666666"/>
        <rFont val="游ゴシック"/>
        <family val="0"/>
        <charset val="1"/>
      </rPr>
      <t xml:space="preserve">1</t>
    </r>
    <r>
      <rPr>
        <i val="true"/>
        <sz val="9"/>
        <color rgb="FF666666"/>
        <rFont val="Noto Sans CJK SC"/>
        <family val="2"/>
      </rPr>
      <t xml:space="preserve">兆</t>
    </r>
    <r>
      <rPr>
        <i val="true"/>
        <sz val="9"/>
        <color rgb="FF666666"/>
        <rFont val="游ゴシック"/>
        <family val="0"/>
        <charset val="1"/>
      </rPr>
      <t xml:space="preserve">3,221</t>
    </r>
    <r>
      <rPr>
        <i val="true"/>
        <sz val="9"/>
        <color rgb="FF666666"/>
        <rFont val="Noto Sans CJK SC"/>
        <family val="2"/>
      </rPr>
      <t xml:space="preserve">億円＋雇用保険</t>
    </r>
    <r>
      <rPr>
        <i val="true"/>
        <sz val="9"/>
        <color rgb="FF666666"/>
        <rFont val="游ゴシック"/>
        <family val="0"/>
        <charset val="1"/>
      </rPr>
      <t xml:space="preserve">2</t>
    </r>
    <r>
      <rPr>
        <i val="true"/>
        <sz val="9"/>
        <color rgb="FF666666"/>
        <rFont val="Noto Sans CJK SC"/>
        <family val="2"/>
      </rPr>
      <t xml:space="preserve">兆</t>
    </r>
    <r>
      <rPr>
        <i val="true"/>
        <sz val="9"/>
        <color rgb="FF666666"/>
        <rFont val="游ゴシック"/>
        <family val="0"/>
        <charset val="1"/>
      </rPr>
      <t xml:space="preserve">1,943</t>
    </r>
    <r>
      <rPr>
        <i val="true"/>
        <sz val="9"/>
        <color rgb="FF666666"/>
        <rFont val="Noto Sans CJK SC"/>
        <family val="2"/>
      </rPr>
      <t xml:space="preserve">億円＋労災保険</t>
    </r>
    <r>
      <rPr>
        <i val="true"/>
        <sz val="9"/>
        <color rgb="FF666666"/>
        <rFont val="游ゴシック"/>
        <family val="0"/>
        <charset val="1"/>
      </rPr>
      <t xml:space="preserve">1</t>
    </r>
    <r>
      <rPr>
        <i val="true"/>
        <sz val="9"/>
        <color rgb="FF666666"/>
        <rFont val="Noto Sans CJK SC"/>
        <family val="2"/>
      </rPr>
      <t xml:space="preserve">兆</t>
    </r>
    <r>
      <rPr>
        <i val="true"/>
        <sz val="9"/>
        <color rgb="FF666666"/>
        <rFont val="游ゴシック"/>
        <family val="0"/>
        <charset val="1"/>
      </rPr>
      <t xml:space="preserve">176</t>
    </r>
    <r>
      <rPr>
        <i val="true"/>
        <sz val="9"/>
        <color rgb="FF666666"/>
        <rFont val="Noto Sans CJK SC"/>
        <family val="2"/>
      </rPr>
      <t xml:space="preserve">億円＝</t>
    </r>
    <r>
      <rPr>
        <i val="true"/>
        <sz val="9"/>
        <color rgb="FF666666"/>
        <rFont val="游ゴシック"/>
        <family val="0"/>
        <charset val="1"/>
      </rPr>
      <t xml:space="preserve">42</t>
    </r>
    <r>
      <rPr>
        <i val="true"/>
        <sz val="9"/>
        <color rgb="FF666666"/>
        <rFont val="Noto Sans CJK SC"/>
        <family val="2"/>
      </rPr>
      <t xml:space="preserve">兆</t>
    </r>
    <r>
      <rPr>
        <i val="true"/>
        <sz val="9"/>
        <color rgb="FF666666"/>
        <rFont val="游ゴシック"/>
        <family val="0"/>
        <charset val="1"/>
      </rPr>
      <t xml:space="preserve">1,027</t>
    </r>
    <r>
      <rPr>
        <i val="true"/>
        <sz val="9"/>
        <color rgb="FF666666"/>
        <rFont val="Noto Sans CJK SC"/>
        <family val="2"/>
      </rPr>
      <t xml:space="preserve">億円</t>
    </r>
  </si>
  <si>
    <t xml:space="preserve">（子ども・子育て拠出金・石綿一般拠出金は他科目の内数のため別建てで概算追加。「社会保険料・その他公課」シート参照）</t>
  </si>
  <si>
    <r>
      <rPr>
        <i val="true"/>
        <sz val="9"/>
        <color rgb="FF666666"/>
        <rFont val="Noto Sans CJK SC"/>
        <family val="2"/>
      </rPr>
      <t xml:space="preserve">【未確定の理由】</t>
    </r>
    <r>
      <rPr>
        <i val="true"/>
        <sz val="9"/>
        <color rgb="FF666666"/>
        <rFont val="游ゴシック"/>
        <family val="0"/>
        <charset val="1"/>
      </rPr>
      <t xml:space="preserve">(1)</t>
    </r>
    <r>
      <rPr>
        <i val="true"/>
        <sz val="9"/>
        <color rgb="FF666666"/>
        <rFont val="Noto Sans CJK SC"/>
        <family val="2"/>
      </rPr>
      <t xml:space="preserve">他の歳入科目と合算計上され単独抽出不可、</t>
    </r>
    <r>
      <rPr>
        <i val="true"/>
        <sz val="9"/>
        <color rgb="FF666666"/>
        <rFont val="游ゴシック"/>
        <family val="0"/>
        <charset val="1"/>
      </rPr>
      <t xml:space="preserve">(2)</t>
    </r>
    <r>
      <rPr>
        <i val="true"/>
        <sz val="9"/>
        <color rgb="FF666666"/>
        <rFont val="Noto Sans CJK SC"/>
        <family val="2"/>
      </rPr>
      <t xml:space="preserve">各目明細書</t>
    </r>
    <r>
      <rPr>
        <i val="true"/>
        <sz val="9"/>
        <color rgb="FF666666"/>
        <rFont val="游ゴシック"/>
        <family val="0"/>
        <charset val="1"/>
      </rPr>
      <t xml:space="preserve">PDF</t>
    </r>
    <r>
      <rPr>
        <i val="true"/>
        <sz val="9"/>
        <color rgb="FF666666"/>
        <rFont val="Noto Sans CJK SC"/>
        <family val="2"/>
      </rPr>
      <t xml:space="preserve">の款項ラベルがテキスト抽出で消失、</t>
    </r>
  </si>
  <si>
    <r>
      <rPr>
        <i val="true"/>
        <sz val="9"/>
        <color rgb="FF666666"/>
        <rFont val="游ゴシック"/>
        <family val="0"/>
        <charset val="1"/>
      </rPr>
      <t xml:space="preserve">(3)</t>
    </r>
    <r>
      <rPr>
        <i val="true"/>
        <sz val="9"/>
        <color rgb="FF666666"/>
        <rFont val="Noto Sans CJK SC"/>
        <family val="2"/>
      </rPr>
      <t xml:space="preserve">政府自身が決算額を把握していないと答弁、</t>
    </r>
    <r>
      <rPr>
        <i val="true"/>
        <sz val="9"/>
        <color rgb="FF666666"/>
        <rFont val="游ゴシック"/>
        <family val="0"/>
        <charset val="1"/>
      </rPr>
      <t xml:space="preserve">(4)</t>
    </r>
    <r>
      <rPr>
        <i val="true"/>
        <sz val="9"/>
        <color rgb="FF666666"/>
        <rFont val="Noto Sans CJK SC"/>
        <family val="2"/>
      </rPr>
      <t xml:space="preserve">制度未発動・徴収未開始、のいずれか。国会図書館の予算書原本確認等</t>
    </r>
  </si>
  <si>
    <t xml:space="preserve">追加の現地調査がない限り、ウェブ公開情報の範囲では特定不可能と判断。</t>
  </si>
  <si>
    <t xml:space="preserve">【特別会計の規模感マップ】</t>
  </si>
  <si>
    <r>
      <rPr>
        <sz val="10"/>
        <rFont val="Noto Sans CJK SC"/>
        <family val="2"/>
      </rPr>
      <t xml:space="preserve">令和</t>
    </r>
    <r>
      <rPr>
        <sz val="10"/>
        <rFont val="游ゴシック"/>
        <family val="0"/>
        <charset val="1"/>
      </rPr>
      <t xml:space="preserve">8</t>
    </r>
    <r>
      <rPr>
        <sz val="10"/>
        <rFont val="Noto Sans CJK SC"/>
        <family val="2"/>
      </rPr>
      <t xml:space="preserve">年度予算：特別会計の歳出総額</t>
    </r>
    <r>
      <rPr>
        <sz val="10"/>
        <rFont val="游ゴシック"/>
        <family val="0"/>
        <charset val="1"/>
      </rPr>
      <t xml:space="preserve">441.7</t>
    </r>
    <r>
      <rPr>
        <sz val="10"/>
        <rFont val="Noto Sans CJK SC"/>
        <family val="2"/>
      </rPr>
      <t xml:space="preserve">兆円、純計額</t>
    </r>
    <r>
      <rPr>
        <sz val="10"/>
        <rFont val="游ゴシック"/>
        <family val="0"/>
        <charset val="1"/>
      </rPr>
      <t xml:space="preserve">216.2</t>
    </r>
    <r>
      <rPr>
        <sz val="10"/>
        <rFont val="Noto Sans CJK SC"/>
        <family val="2"/>
      </rPr>
      <t xml:space="preserve">兆円。純計の大半（</t>
    </r>
    <r>
      <rPr>
        <sz val="10"/>
        <rFont val="游ゴシック"/>
        <family val="0"/>
        <charset val="1"/>
      </rPr>
      <t xml:space="preserve">207.3</t>
    </r>
    <r>
      <rPr>
        <sz val="10"/>
        <rFont val="Noto Sans CJK SC"/>
        <family val="2"/>
      </rPr>
      <t xml:space="preserve">兆円）は国債償還・社会保障給付・地方交付税・財投繰入という「既存税収・保険料の使い道」であり、新たな税収源ではない。残り</t>
    </r>
    <r>
      <rPr>
        <sz val="10"/>
        <rFont val="游ゴシック"/>
        <family val="0"/>
        <charset val="1"/>
      </rPr>
      <t xml:space="preserve">8.8</t>
    </r>
    <r>
      <rPr>
        <sz val="10"/>
        <rFont val="Noto Sans CJK SC"/>
        <family val="2"/>
      </rPr>
      <t xml:space="preserve">兆円（復興除き</t>
    </r>
    <r>
      <rPr>
        <sz val="10"/>
        <rFont val="游ゴシック"/>
        <family val="0"/>
        <charset val="1"/>
      </rPr>
      <t xml:space="preserve">8.3</t>
    </r>
    <r>
      <rPr>
        <sz val="10"/>
        <rFont val="Noto Sans CJK SC"/>
        <family val="2"/>
      </rPr>
      <t xml:space="preserve">兆円）に新規性のある財源が混在する可能性がある。</t>
    </r>
  </si>
  <si>
    <t xml:space="preserve">交付税及び譲与税配付金特別会計</t>
  </si>
  <si>
    <r>
      <rPr>
        <sz val="10"/>
        <rFont val="游ゴシック"/>
        <family val="0"/>
        <charset val="1"/>
      </rPr>
      <t xml:space="preserve">20.2</t>
    </r>
    <r>
      <rPr>
        <sz val="10"/>
        <rFont val="Noto Sans CJK SC"/>
        <family val="2"/>
      </rPr>
      <t xml:space="preserve">兆円</t>
    </r>
    <r>
      <rPr>
        <sz val="10"/>
        <rFont val="游ゴシック"/>
        <family val="0"/>
        <charset val="1"/>
      </rPr>
      <t xml:space="preserve">(</t>
    </r>
    <r>
      <rPr>
        <sz val="10"/>
        <rFont val="Noto Sans CJK SC"/>
        <family val="2"/>
      </rPr>
      <t xml:space="preserve">地方交付税</t>
    </r>
    <r>
      <rPr>
        <sz val="10"/>
        <rFont val="游ゴシック"/>
        <family val="0"/>
        <charset val="1"/>
      </rPr>
      <t xml:space="preserve">)+</t>
    </r>
    <r>
      <rPr>
        <sz val="10"/>
        <rFont val="Noto Sans CJK SC"/>
        <family val="2"/>
      </rPr>
      <t xml:space="preserve">地方譲与税等</t>
    </r>
  </si>
  <si>
    <r>
      <rPr>
        <sz val="10"/>
        <rFont val="Noto Sans CJK SC"/>
        <family val="2"/>
      </rPr>
      <t xml:space="preserve">国税</t>
    </r>
    <r>
      <rPr>
        <sz val="10"/>
        <rFont val="游ゴシック"/>
        <family val="0"/>
        <charset val="1"/>
      </rPr>
      <t xml:space="preserve">4</t>
    </r>
    <r>
      <rPr>
        <sz val="10"/>
        <rFont val="Noto Sans CJK SC"/>
        <family val="2"/>
      </rPr>
      <t xml:space="preserve">税法定率分</t>
    </r>
    <r>
      <rPr>
        <sz val="10"/>
        <rFont val="游ゴシック"/>
        <family val="0"/>
        <charset val="1"/>
      </rPr>
      <t xml:space="preserve">(</t>
    </r>
    <r>
      <rPr>
        <sz val="10"/>
        <rFont val="Noto Sans CJK SC"/>
        <family val="2"/>
      </rPr>
      <t xml:space="preserve">既存税収</t>
    </r>
    <r>
      <rPr>
        <sz val="10"/>
        <rFont val="游ゴシック"/>
        <family val="0"/>
        <charset val="1"/>
      </rPr>
      <t xml:space="preserve">)</t>
    </r>
    <r>
      <rPr>
        <sz val="10"/>
        <rFont val="Noto Sans CJK SC"/>
        <family val="2"/>
      </rPr>
      <t xml:space="preserve">＋地方法人税＋地方譲与税</t>
    </r>
    <r>
      <rPr>
        <sz val="10"/>
        <rFont val="游ゴシック"/>
        <family val="0"/>
        <charset val="1"/>
      </rPr>
      <t xml:space="preserve">7</t>
    </r>
    <r>
      <rPr>
        <sz val="10"/>
        <rFont val="Noto Sans CJK SC"/>
        <family val="2"/>
      </rPr>
      <t xml:space="preserve">税目</t>
    </r>
  </si>
  <si>
    <r>
      <rPr>
        <sz val="10"/>
        <rFont val="Noto Sans CJK SC"/>
        <family val="2"/>
      </rPr>
      <t xml:space="preserve">確認済み（地方法人税・地方譲与税</t>
    </r>
    <r>
      <rPr>
        <sz val="10"/>
        <rFont val="游ゴシック"/>
        <family val="0"/>
        <charset val="1"/>
      </rPr>
      <t xml:space="preserve">7</t>
    </r>
    <r>
      <rPr>
        <sz val="10"/>
        <rFont val="Noto Sans CJK SC"/>
        <family val="2"/>
      </rPr>
      <t xml:space="preserve">税目で本シート反映済み）</t>
    </r>
  </si>
  <si>
    <r>
      <rPr>
        <sz val="10"/>
        <rFont val="Noto Sans CJK SC"/>
        <family val="2"/>
      </rPr>
      <t xml:space="preserve">✅本日精密確認済み。地財計画値と予算書値に</t>
    </r>
    <r>
      <rPr>
        <sz val="10"/>
        <rFont val="游ゴシック"/>
        <family val="0"/>
        <charset val="1"/>
      </rPr>
      <t xml:space="preserve">46</t>
    </r>
    <r>
      <rPr>
        <sz val="10"/>
        <rFont val="Noto Sans CJK SC"/>
        <family val="2"/>
      </rPr>
      <t xml:space="preserve">億円の差異あり</t>
    </r>
  </si>
  <si>
    <t xml:space="preserve">国債整理基金特別会計</t>
  </si>
  <si>
    <r>
      <rPr>
        <sz val="10"/>
        <rFont val="游ゴシック"/>
        <family val="0"/>
        <charset val="1"/>
      </rPr>
      <t xml:space="preserve">31.3</t>
    </r>
    <r>
      <rPr>
        <sz val="10"/>
        <rFont val="Noto Sans CJK SC"/>
        <family val="2"/>
      </rPr>
      <t xml:space="preserve">兆円</t>
    </r>
    <r>
      <rPr>
        <sz val="10"/>
        <rFont val="游ゴシック"/>
        <family val="0"/>
        <charset val="1"/>
      </rPr>
      <t xml:space="preserve">(</t>
    </r>
    <r>
      <rPr>
        <sz val="10"/>
        <rFont val="Noto Sans CJK SC"/>
        <family val="2"/>
      </rPr>
      <t xml:space="preserve">一般会計繰入等</t>
    </r>
    <r>
      <rPr>
        <sz val="10"/>
        <rFont val="游ゴシック"/>
        <family val="0"/>
        <charset val="1"/>
      </rPr>
      <t xml:space="preserve">)</t>
    </r>
  </si>
  <si>
    <t xml:space="preserve">一般会計からの定率繰入、公債発行収入金（借換債）</t>
  </si>
  <si>
    <t xml:space="preserve">なし（税収ではなく公債発行）</t>
  </si>
  <si>
    <t xml:space="preserve">新規税収なし。借換債は新規の負担ではなく既存債務の借換</t>
  </si>
  <si>
    <t xml:space="preserve">年金特別会計→子ども・子育て支援特別会計等に再編</t>
  </si>
  <si>
    <r>
      <rPr>
        <sz val="10"/>
        <rFont val="游ゴシック"/>
        <family val="0"/>
        <charset val="1"/>
      </rPr>
      <t xml:space="preserve">13.5</t>
    </r>
    <r>
      <rPr>
        <sz val="10"/>
        <rFont val="Noto Sans CJK SC"/>
        <family val="2"/>
      </rPr>
      <t xml:space="preserve">兆円</t>
    </r>
    <r>
      <rPr>
        <sz val="10"/>
        <rFont val="游ゴシック"/>
        <family val="0"/>
        <charset val="1"/>
      </rPr>
      <t xml:space="preserve">(</t>
    </r>
    <r>
      <rPr>
        <sz val="10"/>
        <rFont val="Noto Sans CJK SC"/>
        <family val="2"/>
      </rPr>
      <t xml:space="preserve">一般会計繰入</t>
    </r>
    <r>
      <rPr>
        <sz val="10"/>
        <rFont val="游ゴシック"/>
        <family val="0"/>
        <charset val="1"/>
      </rPr>
      <t xml:space="preserve">)</t>
    </r>
  </si>
  <si>
    <t xml:space="preserve">年金保険料・子ども子育て拠出金（社会保険料）＋一般会計繰入</t>
  </si>
  <si>
    <t xml:space="preserve">社会保険料のみ（税ではない）</t>
  </si>
  <si>
    <r>
      <rPr>
        <sz val="10"/>
        <rFont val="Noto Sans CJK SC"/>
        <family val="2"/>
      </rPr>
      <t xml:space="preserve">法定公課</t>
    </r>
    <r>
      <rPr>
        <sz val="10"/>
        <rFont val="游ゴシック"/>
        <family val="0"/>
        <charset val="1"/>
      </rPr>
      <t xml:space="preserve">70</t>
    </r>
    <r>
      <rPr>
        <sz val="10"/>
        <rFont val="Noto Sans CJK SC"/>
        <family val="2"/>
      </rPr>
      <t xml:space="preserve">件リストの範疇。社会保険料を対象に含めるかの方針確認待ち</t>
    </r>
  </si>
  <si>
    <t xml:space="preserve">エネルギー対策特別会計</t>
  </si>
  <si>
    <r>
      <rPr>
        <sz val="10"/>
        <rFont val="游ゴシック"/>
        <family val="0"/>
        <charset val="1"/>
      </rPr>
      <t xml:space="preserve">2.9</t>
    </r>
    <r>
      <rPr>
        <sz val="10"/>
        <rFont val="Noto Sans CJK SC"/>
        <family val="2"/>
      </rPr>
      <t xml:space="preserve">兆円</t>
    </r>
    <r>
      <rPr>
        <sz val="10"/>
        <rFont val="游ゴシック"/>
        <family val="0"/>
        <charset val="1"/>
      </rPr>
      <t xml:space="preserve">(</t>
    </r>
    <r>
      <rPr>
        <sz val="10"/>
        <rFont val="Noto Sans CJK SC"/>
        <family val="2"/>
      </rPr>
      <t xml:space="preserve">歳出</t>
    </r>
    <r>
      <rPr>
        <sz val="10"/>
        <rFont val="游ゴシック"/>
        <family val="0"/>
        <charset val="1"/>
      </rPr>
      <t xml:space="preserve">, </t>
    </r>
    <r>
      <rPr>
        <sz val="10"/>
        <rFont val="Noto Sans CJK SC"/>
        <family val="2"/>
      </rPr>
      <t xml:space="preserve">前年比</t>
    </r>
    <r>
      <rPr>
        <sz val="10"/>
        <rFont val="游ゴシック"/>
        <family val="0"/>
        <charset val="1"/>
      </rPr>
      <t xml:space="preserve">+1.0</t>
    </r>
    <r>
      <rPr>
        <sz val="10"/>
        <rFont val="Noto Sans CJK SC"/>
        <family val="2"/>
      </rPr>
      <t xml:space="preserve">兆円</t>
    </r>
    <r>
      <rPr>
        <sz val="10"/>
        <rFont val="游ゴシック"/>
        <family val="0"/>
        <charset val="1"/>
      </rPr>
      <t xml:space="preserve">)</t>
    </r>
  </si>
  <si>
    <r>
      <rPr>
        <sz val="10"/>
        <rFont val="Noto Sans CJK SC"/>
        <family val="2"/>
      </rPr>
      <t xml:space="preserve">石油石炭税・電源開発促進税（特定財源、一般会計計上済み）＋</t>
    </r>
    <r>
      <rPr>
        <sz val="10"/>
        <rFont val="游ゴシック"/>
        <family val="0"/>
        <charset val="1"/>
      </rPr>
      <t xml:space="preserve">GX</t>
    </r>
    <r>
      <rPr>
        <sz val="10"/>
        <rFont val="Noto Sans CJK SC"/>
        <family val="2"/>
      </rPr>
      <t xml:space="preserve">経済移行債等</t>
    </r>
  </si>
  <si>
    <r>
      <rPr>
        <sz val="10"/>
        <rFont val="Noto Sans CJK SC"/>
        <family val="2"/>
      </rPr>
      <t xml:space="preserve">なし（税収は一般会計</t>
    </r>
    <r>
      <rPr>
        <sz val="10"/>
        <rFont val="游ゴシック"/>
        <family val="0"/>
        <charset val="1"/>
      </rPr>
      <t xml:space="preserve">19</t>
    </r>
    <r>
      <rPr>
        <sz val="10"/>
        <rFont val="Noto Sans CJK SC"/>
        <family val="2"/>
      </rPr>
      <t xml:space="preserve">税目に計上済み、それ以外は国債）</t>
    </r>
  </si>
  <si>
    <r>
      <rPr>
        <sz val="10"/>
        <rFont val="Noto Sans CJK SC"/>
        <family val="2"/>
      </rPr>
      <t xml:space="preserve">【保留】各目明細書</t>
    </r>
    <r>
      <rPr>
        <sz val="10"/>
        <rFont val="游ゴシック"/>
        <family val="0"/>
        <charset val="1"/>
      </rPr>
      <t xml:space="preserve">PDF</t>
    </r>
    <r>
      <rPr>
        <sz val="10"/>
        <rFont val="Noto Sans CJK SC"/>
        <family val="2"/>
      </rPr>
      <t xml:space="preserve">が款項ラベル抽出不可のため未精密化。</t>
    </r>
    <r>
      <rPr>
        <sz val="10"/>
        <rFont val="游ゴシック"/>
        <family val="0"/>
        <charset val="1"/>
      </rPr>
      <t xml:space="preserve">GX</t>
    </r>
    <r>
      <rPr>
        <sz val="10"/>
        <rFont val="Noto Sans CJK SC"/>
        <family val="2"/>
      </rPr>
      <t xml:space="preserve">経済移行債・先端半導体技術債は新規の税収ではなく国債</t>
    </r>
  </si>
  <si>
    <t xml:space="preserve">東日本大震災復興特別会計</t>
  </si>
  <si>
    <r>
      <rPr>
        <sz val="10"/>
        <rFont val="游ゴシック"/>
        <family val="0"/>
        <charset val="1"/>
      </rPr>
      <t xml:space="preserve">0.5</t>
    </r>
    <r>
      <rPr>
        <sz val="10"/>
        <rFont val="Noto Sans CJK SC"/>
        <family val="2"/>
      </rPr>
      <t xml:space="preserve">兆円</t>
    </r>
    <r>
      <rPr>
        <sz val="10"/>
        <rFont val="游ゴシック"/>
        <family val="0"/>
        <charset val="1"/>
      </rPr>
      <t xml:space="preserve">(</t>
    </r>
    <r>
      <rPr>
        <sz val="10"/>
        <rFont val="Noto Sans CJK SC"/>
        <family val="2"/>
      </rPr>
      <t xml:space="preserve">復興経費</t>
    </r>
    <r>
      <rPr>
        <sz val="10"/>
        <rFont val="游ゴシック"/>
        <family val="0"/>
        <charset val="1"/>
      </rPr>
      <t xml:space="preserve">)</t>
    </r>
  </si>
  <si>
    <r>
      <rPr>
        <sz val="10"/>
        <rFont val="Noto Sans CJK SC"/>
        <family val="2"/>
      </rPr>
      <t xml:space="preserve">復興特別所得税等（既に</t>
    </r>
    <r>
      <rPr>
        <sz val="10"/>
        <rFont val="游ゴシック"/>
        <family val="0"/>
        <charset val="1"/>
      </rPr>
      <t xml:space="preserve">19</t>
    </r>
    <r>
      <rPr>
        <sz val="10"/>
        <rFont val="Noto Sans CJK SC"/>
        <family val="2"/>
      </rPr>
      <t xml:space="preserve">税目シートの源泉・申告所得税に含まれる）＋一般会計繰入</t>
    </r>
  </si>
  <si>
    <t xml:space="preserve">なし（復興特別所得税は所得税の一部として一般に計上）</t>
  </si>
  <si>
    <r>
      <rPr>
        <sz val="10"/>
        <rFont val="Noto Sans CJK SC"/>
        <family val="2"/>
      </rPr>
      <t xml:space="preserve">復興特別所得税は所得税額</t>
    </r>
    <r>
      <rPr>
        <sz val="10"/>
        <rFont val="游ゴシック"/>
        <family val="0"/>
        <charset val="1"/>
      </rPr>
      <t xml:space="preserve">×2.1%</t>
    </r>
    <r>
      <rPr>
        <sz val="10"/>
        <rFont val="Noto Sans CJK SC"/>
        <family val="2"/>
      </rPr>
      <t xml:space="preserve">の付加税。</t>
    </r>
    <r>
      <rPr>
        <sz val="10"/>
        <rFont val="游ゴシック"/>
        <family val="0"/>
        <charset val="1"/>
      </rPr>
      <t xml:space="preserve">19</t>
    </r>
    <r>
      <rPr>
        <sz val="10"/>
        <rFont val="Noto Sans CJK SC"/>
        <family val="2"/>
      </rPr>
      <t xml:space="preserve">税目シートの源泉・申告所得税に含まれている可能性が高く要確認</t>
    </r>
  </si>
  <si>
    <t xml:space="preserve">労働保険特別会計</t>
  </si>
  <si>
    <r>
      <rPr>
        <sz val="10"/>
        <rFont val="Noto Sans CJK SC"/>
        <family val="2"/>
      </rPr>
      <t xml:space="preserve">保険事業の一部（</t>
    </r>
    <r>
      <rPr>
        <sz val="10"/>
        <rFont val="游ゴシック"/>
        <family val="0"/>
        <charset val="1"/>
      </rPr>
      <t xml:space="preserve">3</t>
    </r>
    <r>
      <rPr>
        <sz val="10"/>
        <rFont val="Noto Sans CJK SC"/>
        <family val="2"/>
      </rPr>
      <t xml:space="preserve">割強）</t>
    </r>
  </si>
  <si>
    <t xml:space="preserve">労災保険料・雇用保険料（社会保険料）</t>
  </si>
  <si>
    <t xml:space="preserve">法定公課の範疇。雇用保険料率は近年頻繁に改定</t>
  </si>
  <si>
    <t xml:space="preserve">食料安定供給特別会計</t>
  </si>
  <si>
    <r>
      <rPr>
        <sz val="10"/>
        <rFont val="游ゴシック"/>
        <family val="0"/>
        <charset val="1"/>
      </rPr>
      <t xml:space="preserve">1.1</t>
    </r>
    <r>
      <rPr>
        <sz val="10"/>
        <rFont val="Noto Sans CJK SC"/>
        <family val="2"/>
      </rPr>
      <t xml:space="preserve">兆円</t>
    </r>
    <r>
      <rPr>
        <sz val="10"/>
        <rFont val="游ゴシック"/>
        <family val="0"/>
        <charset val="1"/>
      </rPr>
      <t xml:space="preserve">(</t>
    </r>
    <r>
      <rPr>
        <sz val="10"/>
        <rFont val="Noto Sans CJK SC"/>
        <family val="2"/>
      </rPr>
      <t xml:space="preserve">歳出</t>
    </r>
    <r>
      <rPr>
        <sz val="10"/>
        <rFont val="游ゴシック"/>
        <family val="0"/>
        <charset val="1"/>
      </rPr>
      <t xml:space="preserve">, </t>
    </r>
    <r>
      <rPr>
        <sz val="10"/>
        <rFont val="Noto Sans CJK SC"/>
        <family val="2"/>
      </rPr>
      <t xml:space="preserve">前年比</t>
    </r>
    <r>
      <rPr>
        <sz val="10"/>
        <rFont val="游ゴシック"/>
        <family val="0"/>
        <charset val="1"/>
      </rPr>
      <t xml:space="preserve">+0.1</t>
    </r>
    <r>
      <rPr>
        <sz val="10"/>
        <rFont val="Noto Sans CJK SC"/>
        <family val="2"/>
      </rPr>
      <t xml:space="preserve">兆円</t>
    </r>
    <r>
      <rPr>
        <sz val="10"/>
        <rFont val="游ゴシック"/>
        <family val="0"/>
        <charset val="1"/>
      </rPr>
      <t xml:space="preserve">)</t>
    </r>
  </si>
  <si>
    <t xml:space="preserve">一般会計繰入＋業務収入（米麦売買収入等）</t>
  </si>
  <si>
    <t xml:space="preserve">なし（税収ではなく事業収入）</t>
  </si>
  <si>
    <t xml:space="preserve">米麦の買入れ等が主目的。税収との関連は薄い</t>
  </si>
  <si>
    <t xml:space="preserve">外国為替資金特別会計</t>
  </si>
  <si>
    <t xml:space="preserve">規模大きいが純計に計上されにくい</t>
  </si>
  <si>
    <t xml:space="preserve">外国為替資金の運用益（為替差損益・利息収入）</t>
  </si>
  <si>
    <t xml:space="preserve">なし（税収ではなく運用益）</t>
  </si>
  <si>
    <t xml:space="preserve">剰余金が毎年度一般会計に繰入されることがある（税外収入）</t>
  </si>
  <si>
    <t xml:space="preserve">数百億円規模</t>
  </si>
  <si>
    <t xml:space="preserve">特許料等手数料収入</t>
  </si>
  <si>
    <t xml:space="preserve">なし（手数料、税ではない）</t>
  </si>
  <si>
    <r>
      <rPr>
        <sz val="10"/>
        <rFont val="Noto Sans CJK SC"/>
        <family val="2"/>
      </rPr>
      <t xml:space="preserve">法定公課</t>
    </r>
    <r>
      <rPr>
        <sz val="10"/>
        <rFont val="游ゴシック"/>
        <family val="0"/>
        <charset val="1"/>
      </rPr>
      <t xml:space="preserve">70</t>
    </r>
    <r>
      <rPr>
        <sz val="10"/>
        <rFont val="Noto Sans CJK SC"/>
        <family val="2"/>
      </rPr>
      <t xml:space="preserve">件リストの手数料系統に近い性格</t>
    </r>
  </si>
  <si>
    <t xml:space="preserve">自動車安全特別会計</t>
  </si>
  <si>
    <r>
      <rPr>
        <sz val="10"/>
        <rFont val="游ゴシック"/>
        <family val="0"/>
        <charset val="1"/>
      </rPr>
      <t xml:space="preserve">0.5</t>
    </r>
    <r>
      <rPr>
        <sz val="10"/>
        <rFont val="Noto Sans CJK SC"/>
        <family val="2"/>
      </rPr>
      <t xml:space="preserve">兆円規模</t>
    </r>
    <r>
      <rPr>
        <sz val="10"/>
        <rFont val="游ゴシック"/>
        <family val="0"/>
        <charset val="1"/>
      </rPr>
      <t xml:space="preserve">(</t>
    </r>
    <r>
      <rPr>
        <sz val="10"/>
        <rFont val="Noto Sans CJK SC"/>
        <family val="2"/>
      </rPr>
      <t xml:space="preserve">空港整備勘定等</t>
    </r>
    <r>
      <rPr>
        <sz val="10"/>
        <rFont val="游ゴシック"/>
        <family val="0"/>
        <charset val="1"/>
      </rPr>
      <t xml:space="preserve">)</t>
    </r>
  </si>
  <si>
    <r>
      <rPr>
        <sz val="10"/>
        <rFont val="Noto Sans CJK SC"/>
        <family val="2"/>
      </rPr>
      <t xml:space="preserve">自動車検査登録手数料、空港使用料等＋航空機燃料税繰入</t>
    </r>
    <r>
      <rPr>
        <sz val="10"/>
        <rFont val="游ゴシック"/>
        <family val="0"/>
        <charset val="1"/>
      </rPr>
      <t xml:space="preserve">(</t>
    </r>
    <r>
      <rPr>
        <sz val="10"/>
        <rFont val="Noto Sans CJK SC"/>
        <family val="2"/>
      </rPr>
      <t xml:space="preserve">計上済み</t>
    </r>
    <r>
      <rPr>
        <sz val="10"/>
        <rFont val="游ゴシック"/>
        <family val="0"/>
        <charset val="1"/>
      </rPr>
      <t xml:space="preserve">)</t>
    </r>
  </si>
  <si>
    <t xml:space="preserve">なし</t>
  </si>
  <si>
    <r>
      <rPr>
        <sz val="10"/>
        <rFont val="Noto Sans CJK SC"/>
        <family val="2"/>
      </rPr>
      <t xml:space="preserve">航空機燃料税分は</t>
    </r>
    <r>
      <rPr>
        <sz val="10"/>
        <rFont val="游ゴシック"/>
        <family val="0"/>
        <charset val="1"/>
      </rPr>
      <t xml:space="preserve">19</t>
    </r>
    <r>
      <rPr>
        <sz val="10"/>
        <rFont val="Noto Sans CJK SC"/>
        <family val="2"/>
      </rPr>
      <t xml:space="preserve">税目シート計上済み。手数料部分は税ではない</t>
    </r>
  </si>
  <si>
    <r>
      <rPr>
        <sz val="10"/>
        <rFont val="Noto Sans CJK SC"/>
        <family val="2"/>
      </rPr>
      <t xml:space="preserve">【暫定結論】特別会計を広く見ても、一般会計</t>
    </r>
    <r>
      <rPr>
        <sz val="10"/>
        <rFont val="游ゴシック"/>
        <family val="0"/>
        <charset val="1"/>
      </rPr>
      <t xml:space="preserve">19</t>
    </r>
    <r>
      <rPr>
        <sz val="10"/>
        <rFont val="Noto Sans CJK SC"/>
        <family val="2"/>
      </rPr>
      <t xml:space="preserve">税目・地方法人税・地方譲与税</t>
    </r>
    <r>
      <rPr>
        <sz val="10"/>
        <rFont val="游ゴシック"/>
        <family val="0"/>
        <charset val="1"/>
      </rPr>
      <t xml:space="preserve">7</t>
    </r>
    <r>
      <rPr>
        <sz val="10"/>
        <rFont val="Noto Sans CJK SC"/>
        <family val="2"/>
      </rPr>
      <t xml:space="preserve">税目に追加すべき「新規の税収項目」は見当たらなかった。残りは（</t>
    </r>
    <r>
      <rPr>
        <sz val="10"/>
        <rFont val="游ゴシック"/>
        <family val="0"/>
        <charset val="1"/>
      </rPr>
      <t xml:space="preserve">a</t>
    </r>
    <r>
      <rPr>
        <sz val="10"/>
        <rFont val="Noto Sans CJK SC"/>
        <family val="2"/>
      </rPr>
      <t xml:space="preserve">）公債発行収入、（</t>
    </r>
    <r>
      <rPr>
        <sz val="10"/>
        <rFont val="游ゴシック"/>
        <family val="0"/>
        <charset val="1"/>
      </rPr>
      <t xml:space="preserve">b</t>
    </r>
    <r>
      <rPr>
        <sz val="10"/>
        <rFont val="Noto Sans CJK SC"/>
        <family val="2"/>
      </rPr>
      <t xml:space="preserve">）社会保険料、（</t>
    </r>
    <r>
      <rPr>
        <sz val="10"/>
        <rFont val="游ゴシック"/>
        <family val="0"/>
        <charset val="1"/>
      </rPr>
      <t xml:space="preserve">c</t>
    </r>
    <r>
      <rPr>
        <sz val="10"/>
        <rFont val="Noto Sans CJK SC"/>
        <family val="2"/>
      </rPr>
      <t xml:space="preserve">）手数料・事業収入、（</t>
    </r>
    <r>
      <rPr>
        <sz val="10"/>
        <rFont val="游ゴシック"/>
        <family val="0"/>
        <charset val="1"/>
      </rPr>
      <t xml:space="preserve">d</t>
    </r>
    <r>
      <rPr>
        <sz val="10"/>
        <rFont val="Noto Sans CJK SC"/>
        <family val="2"/>
      </rPr>
      <t xml:space="preserve">）会計間の繰入（既存税収の付け替え）のいずれかに分類される。社会保険料を対象に含めるかは、リバタリアン的減税の趣旨の射程として別途方針確認が必要（法定公課</t>
    </r>
    <r>
      <rPr>
        <sz val="10"/>
        <rFont val="游ゴシック"/>
        <family val="0"/>
        <charset val="1"/>
      </rPr>
      <t xml:space="preserve">70</t>
    </r>
    <r>
      <rPr>
        <sz val="10"/>
        <rFont val="Noto Sans CJK SC"/>
        <family val="2"/>
      </rPr>
      <t xml:space="preserve">件リストの議論と合流する）。</t>
    </r>
  </si>
  <si>
    <r>
      <rPr>
        <sz val="10"/>
        <rFont val="Noto Sans CJK SC"/>
        <family val="2"/>
      </rPr>
      <t xml:space="preserve">出典：財務省「特別会計について（令和</t>
    </r>
    <r>
      <rPr>
        <sz val="10"/>
        <rFont val="游ゴシック"/>
        <family val="0"/>
        <charset val="1"/>
      </rPr>
      <t xml:space="preserve">8</t>
    </r>
    <r>
      <rPr>
        <sz val="10"/>
        <rFont val="Noto Sans CJK SC"/>
        <family val="2"/>
      </rPr>
      <t xml:space="preserve">年度予算）」</t>
    </r>
    <r>
      <rPr>
        <sz val="10"/>
        <rFont val="游ゴシック"/>
        <family val="0"/>
        <charset val="1"/>
      </rPr>
      <t xml:space="preserve">(seifuan2026/26.pdf)</t>
    </r>
    <r>
      <rPr>
        <sz val="10"/>
        <rFont val="Noto Sans CJK SC"/>
        <family val="2"/>
      </rPr>
      <t xml:space="preserve">、財務省「特別会計の歳出予算額」ページ、</t>
    </r>
  </si>
  <si>
    <t xml:space="preserve">内閣府こども家庭庁・各省予算資料、全国健康保険協会保険料率表等。</t>
  </si>
  <si>
    <t xml:space="preserve">本表は規模感の把握を目的とした概観であり、各特別会計の精密な歳入内訳（特に複数年度推移・勘定別内訳）は未検証。</t>
  </si>
  <si>
    <r>
      <rPr>
        <b val="true"/>
        <sz val="12"/>
        <color rgb="FFFFFFFF"/>
        <rFont val="Noto Sans CJK SC"/>
        <family val="2"/>
      </rPr>
      <t xml:space="preserve">【法人税実効税率の検証メモ】（</t>
    </r>
    <r>
      <rPr>
        <b val="true"/>
        <sz val="12"/>
        <color rgb="FFFFFFFF"/>
        <rFont val="游ゴシック"/>
        <family val="0"/>
        <charset val="1"/>
      </rPr>
      <t xml:space="preserve">18.30%</t>
    </r>
    <r>
      <rPr>
        <b val="true"/>
        <sz val="12"/>
        <color rgb="FFFFFFFF"/>
        <rFont val="Noto Sans CJK SC"/>
        <family val="2"/>
      </rPr>
      <t xml:space="preserve">が正・総括資料の</t>
    </r>
    <r>
      <rPr>
        <b val="true"/>
        <sz val="12"/>
        <color rgb="FFFFFFFF"/>
        <rFont val="游ゴシック"/>
        <family val="0"/>
        <charset val="1"/>
      </rPr>
      <t xml:space="preserve">19.16%</t>
    </r>
    <r>
      <rPr>
        <b val="true"/>
        <sz val="12"/>
        <color rgb="FFFFFFFF"/>
        <rFont val="Noto Sans CJK SC"/>
        <family val="2"/>
      </rPr>
      <t xml:space="preserve">は誤記と確定）</t>
    </r>
  </si>
  <si>
    <t xml:space="preserve">値</t>
  </si>
  <si>
    <r>
      <rPr>
        <sz val="10"/>
        <rFont val="Noto Sans CJK SC"/>
        <family val="2"/>
      </rPr>
      <t xml:space="preserve">令和</t>
    </r>
    <r>
      <rPr>
        <sz val="10"/>
        <rFont val="游ゴシック"/>
        <family val="0"/>
        <charset val="1"/>
      </rPr>
      <t xml:space="preserve">6</t>
    </r>
    <r>
      <rPr>
        <sz val="10"/>
        <rFont val="Noto Sans CJK SC"/>
        <family val="2"/>
      </rPr>
      <t xml:space="preserve">年度分 法人税額</t>
    </r>
  </si>
  <si>
    <r>
      <rPr>
        <sz val="10"/>
        <rFont val="游ゴシック"/>
        <family val="0"/>
        <charset val="1"/>
      </rPr>
      <t xml:space="preserve">18</t>
    </r>
    <r>
      <rPr>
        <sz val="10"/>
        <rFont val="Noto Sans CJK SC"/>
        <family val="2"/>
      </rPr>
      <t xml:space="preserve">兆</t>
    </r>
    <r>
      <rPr>
        <sz val="10"/>
        <rFont val="游ゴシック"/>
        <family val="0"/>
        <charset val="1"/>
      </rPr>
      <t xml:space="preserve">6,822</t>
    </r>
    <r>
      <rPr>
        <sz val="10"/>
        <rFont val="Noto Sans CJK SC"/>
        <family val="2"/>
      </rPr>
      <t xml:space="preserve">億円</t>
    </r>
  </si>
  <si>
    <r>
      <rPr>
        <sz val="10"/>
        <rFont val="Noto Sans CJK SC"/>
        <family val="2"/>
      </rPr>
      <t xml:space="preserve">国税庁 令和</t>
    </r>
    <r>
      <rPr>
        <sz val="10"/>
        <rFont val="游ゴシック"/>
        <family val="0"/>
        <charset val="1"/>
      </rPr>
      <t xml:space="preserve">6</t>
    </r>
    <r>
      <rPr>
        <sz val="10"/>
        <rFont val="Noto Sans CJK SC"/>
        <family val="2"/>
      </rPr>
      <t xml:space="preserve">年度分会社標本調査結果について（報道発表資料）令和</t>
    </r>
    <r>
      <rPr>
        <sz val="10"/>
        <rFont val="游ゴシック"/>
        <family val="0"/>
        <charset val="1"/>
      </rPr>
      <t xml:space="preserve">8</t>
    </r>
    <r>
      <rPr>
        <sz val="10"/>
        <rFont val="Noto Sans CJK SC"/>
        <family val="2"/>
      </rPr>
      <t xml:space="preserve">年</t>
    </r>
    <r>
      <rPr>
        <sz val="10"/>
        <rFont val="游ゴシック"/>
        <family val="0"/>
        <charset val="1"/>
      </rPr>
      <t xml:space="preserve">3</t>
    </r>
    <r>
      <rPr>
        <sz val="10"/>
        <rFont val="Noto Sans CJK SC"/>
        <family val="2"/>
      </rPr>
      <t xml:space="preserve">月</t>
    </r>
  </si>
  <si>
    <r>
      <rPr>
        <sz val="10"/>
        <rFont val="Noto Sans CJK SC"/>
        <family val="2"/>
      </rPr>
      <t xml:space="preserve">令和</t>
    </r>
    <r>
      <rPr>
        <sz val="10"/>
        <rFont val="游ゴシック"/>
        <family val="0"/>
        <charset val="1"/>
      </rPr>
      <t xml:space="preserve">6</t>
    </r>
    <r>
      <rPr>
        <sz val="10"/>
        <rFont val="Noto Sans CJK SC"/>
        <family val="2"/>
      </rPr>
      <t xml:space="preserve">年度分 所得金額</t>
    </r>
  </si>
  <si>
    <r>
      <rPr>
        <sz val="10"/>
        <rFont val="游ゴシック"/>
        <family val="0"/>
        <charset val="1"/>
      </rPr>
      <t xml:space="preserve">102</t>
    </r>
    <r>
      <rPr>
        <sz val="10"/>
        <rFont val="Noto Sans CJK SC"/>
        <family val="2"/>
      </rPr>
      <t xml:space="preserve">兆</t>
    </r>
    <r>
      <rPr>
        <sz val="10"/>
        <rFont val="游ゴシック"/>
        <family val="0"/>
        <charset val="1"/>
      </rPr>
      <t xml:space="preserve">609</t>
    </r>
    <r>
      <rPr>
        <sz val="10"/>
        <rFont val="Noto Sans CJK SC"/>
        <family val="2"/>
      </rPr>
      <t xml:space="preserve">億円</t>
    </r>
  </si>
  <si>
    <r>
      <rPr>
        <sz val="10"/>
        <rFont val="Noto Sans CJK SC"/>
        <family val="2"/>
      </rPr>
      <t xml:space="preserve">令和</t>
    </r>
    <r>
      <rPr>
        <sz val="10"/>
        <rFont val="游ゴシック"/>
        <family val="0"/>
        <charset val="1"/>
      </rPr>
      <t xml:space="preserve">6</t>
    </r>
    <r>
      <rPr>
        <sz val="10"/>
        <rFont val="Noto Sans CJK SC"/>
        <family val="2"/>
      </rPr>
      <t xml:space="preserve">年度分 実効税率</t>
    </r>
  </si>
  <si>
    <t xml:space="preserve">18.30%</t>
  </si>
  <si>
    <r>
      <rPr>
        <sz val="10"/>
        <rFont val="游ゴシック"/>
        <family val="0"/>
        <charset val="1"/>
      </rPr>
      <t xml:space="preserve">18</t>
    </r>
    <r>
      <rPr>
        <sz val="10"/>
        <rFont val="Noto Sans CJK SC"/>
        <family val="2"/>
      </rPr>
      <t xml:space="preserve">兆</t>
    </r>
    <r>
      <rPr>
        <sz val="10"/>
        <rFont val="游ゴシック"/>
        <family val="0"/>
        <charset val="1"/>
      </rPr>
      <t xml:space="preserve">6,822</t>
    </r>
    <r>
      <rPr>
        <sz val="10"/>
        <rFont val="Noto Sans CJK SC"/>
        <family val="2"/>
      </rPr>
      <t xml:space="preserve">億円 </t>
    </r>
    <r>
      <rPr>
        <sz val="10"/>
        <rFont val="游ゴシック"/>
        <family val="0"/>
        <charset val="1"/>
      </rPr>
      <t xml:space="preserve">÷ 102</t>
    </r>
    <r>
      <rPr>
        <sz val="10"/>
        <rFont val="Noto Sans CJK SC"/>
        <family val="2"/>
      </rPr>
      <t xml:space="preserve">兆</t>
    </r>
    <r>
      <rPr>
        <sz val="10"/>
        <rFont val="游ゴシック"/>
        <family val="0"/>
        <charset val="1"/>
      </rPr>
      <t xml:space="preserve">609</t>
    </r>
    <r>
      <rPr>
        <sz val="10"/>
        <rFont val="Noto Sans CJK SC"/>
        <family val="2"/>
      </rPr>
      <t xml:space="preserve">億円（</t>
    </r>
    <r>
      <rPr>
        <sz val="10"/>
        <rFont val="游ゴシック"/>
        <family val="0"/>
        <charset val="1"/>
      </rPr>
      <t xml:space="preserve">model_final.py</t>
    </r>
    <r>
      <rPr>
        <sz val="10"/>
        <rFont val="Noto Sans CJK SC"/>
        <family val="2"/>
      </rPr>
      <t xml:space="preserve">の計算値と一致）</t>
    </r>
  </si>
  <si>
    <r>
      <rPr>
        <sz val="10"/>
        <rFont val="Noto Sans CJK SC"/>
        <family val="2"/>
      </rPr>
      <t xml:space="preserve">（参考）令和</t>
    </r>
    <r>
      <rPr>
        <sz val="10"/>
        <rFont val="游ゴシック"/>
        <family val="0"/>
        <charset val="1"/>
      </rPr>
      <t xml:space="preserve">5</t>
    </r>
    <r>
      <rPr>
        <sz val="10"/>
        <rFont val="Noto Sans CJK SC"/>
        <family val="2"/>
      </rPr>
      <t xml:space="preserve">年度分 法人税額</t>
    </r>
  </si>
  <si>
    <r>
      <rPr>
        <sz val="10"/>
        <rFont val="游ゴシック"/>
        <family val="0"/>
        <charset val="1"/>
      </rPr>
      <t xml:space="preserve">16</t>
    </r>
    <r>
      <rPr>
        <sz val="10"/>
        <rFont val="Noto Sans CJK SC"/>
        <family val="2"/>
      </rPr>
      <t xml:space="preserve">兆</t>
    </r>
    <r>
      <rPr>
        <sz val="10"/>
        <rFont val="游ゴシック"/>
        <family val="0"/>
        <charset val="1"/>
      </rPr>
      <t xml:space="preserve">3,976</t>
    </r>
    <r>
      <rPr>
        <sz val="10"/>
        <rFont val="Noto Sans CJK SC"/>
        <family val="2"/>
      </rPr>
      <t xml:space="preserve">億円</t>
    </r>
  </si>
  <si>
    <r>
      <rPr>
        <sz val="10"/>
        <rFont val="Noto Sans CJK SC"/>
        <family val="2"/>
      </rPr>
      <t xml:space="preserve">国税庁 令和</t>
    </r>
    <r>
      <rPr>
        <sz val="10"/>
        <rFont val="游ゴシック"/>
        <family val="0"/>
        <charset val="1"/>
      </rPr>
      <t xml:space="preserve">5</t>
    </r>
    <r>
      <rPr>
        <sz val="10"/>
        <rFont val="Noto Sans CJK SC"/>
        <family val="2"/>
      </rPr>
      <t xml:space="preserve">年度分会社標本調査結果について（報道発表資料）令和</t>
    </r>
    <r>
      <rPr>
        <sz val="10"/>
        <rFont val="游ゴシック"/>
        <family val="0"/>
        <charset val="1"/>
      </rPr>
      <t xml:space="preserve">7</t>
    </r>
    <r>
      <rPr>
        <sz val="10"/>
        <rFont val="Noto Sans CJK SC"/>
        <family val="2"/>
      </rPr>
      <t xml:space="preserve">年</t>
    </r>
    <r>
      <rPr>
        <sz val="10"/>
        <rFont val="游ゴシック"/>
        <family val="0"/>
        <charset val="1"/>
      </rPr>
      <t xml:space="preserve">4</t>
    </r>
    <r>
      <rPr>
        <sz val="10"/>
        <rFont val="Noto Sans CJK SC"/>
        <family val="2"/>
      </rPr>
      <t xml:space="preserve">月</t>
    </r>
  </si>
  <si>
    <r>
      <rPr>
        <sz val="10"/>
        <rFont val="Noto Sans CJK SC"/>
        <family val="2"/>
      </rPr>
      <t xml:space="preserve">（参考）令和</t>
    </r>
    <r>
      <rPr>
        <sz val="10"/>
        <rFont val="游ゴシック"/>
        <family val="0"/>
        <charset val="1"/>
      </rPr>
      <t xml:space="preserve">5</t>
    </r>
    <r>
      <rPr>
        <sz val="10"/>
        <rFont val="Noto Sans CJK SC"/>
        <family val="2"/>
      </rPr>
      <t xml:space="preserve">年度分 所得金額</t>
    </r>
  </si>
  <si>
    <r>
      <rPr>
        <sz val="10"/>
        <rFont val="游ゴシック"/>
        <family val="0"/>
        <charset val="1"/>
      </rPr>
      <t xml:space="preserve">91</t>
    </r>
    <r>
      <rPr>
        <sz val="10"/>
        <rFont val="Noto Sans CJK SC"/>
        <family val="2"/>
      </rPr>
      <t xml:space="preserve">兆</t>
    </r>
    <r>
      <rPr>
        <sz val="10"/>
        <rFont val="游ゴシック"/>
        <family val="0"/>
        <charset val="1"/>
      </rPr>
      <t xml:space="preserve">7,696</t>
    </r>
    <r>
      <rPr>
        <sz val="10"/>
        <rFont val="Noto Sans CJK SC"/>
        <family val="2"/>
      </rPr>
      <t xml:space="preserve">億円</t>
    </r>
  </si>
  <si>
    <r>
      <rPr>
        <sz val="10"/>
        <rFont val="Noto Sans CJK SC"/>
        <family val="2"/>
      </rPr>
      <t xml:space="preserve">（参考）令和</t>
    </r>
    <r>
      <rPr>
        <sz val="10"/>
        <rFont val="游ゴシック"/>
        <family val="0"/>
        <charset val="1"/>
      </rPr>
      <t xml:space="preserve">5</t>
    </r>
    <r>
      <rPr>
        <sz val="10"/>
        <rFont val="Noto Sans CJK SC"/>
        <family val="2"/>
      </rPr>
      <t xml:space="preserve">年度分 実効税率</t>
    </r>
  </si>
  <si>
    <t xml:space="preserve">17.87%</t>
  </si>
  <si>
    <r>
      <rPr>
        <sz val="10"/>
        <rFont val="游ゴシック"/>
        <family val="0"/>
        <charset val="1"/>
      </rPr>
      <t xml:space="preserve">16</t>
    </r>
    <r>
      <rPr>
        <sz val="10"/>
        <rFont val="Noto Sans CJK SC"/>
        <family val="2"/>
      </rPr>
      <t xml:space="preserve">兆</t>
    </r>
    <r>
      <rPr>
        <sz val="10"/>
        <rFont val="游ゴシック"/>
        <family val="0"/>
        <charset val="1"/>
      </rPr>
      <t xml:space="preserve">3,976</t>
    </r>
    <r>
      <rPr>
        <sz val="10"/>
        <rFont val="Noto Sans CJK SC"/>
        <family val="2"/>
      </rPr>
      <t xml:space="preserve">億円 </t>
    </r>
    <r>
      <rPr>
        <sz val="10"/>
        <rFont val="游ゴシック"/>
        <family val="0"/>
        <charset val="1"/>
      </rPr>
      <t xml:space="preserve">÷ 91</t>
    </r>
    <r>
      <rPr>
        <sz val="10"/>
        <rFont val="Noto Sans CJK SC"/>
        <family val="2"/>
      </rPr>
      <t xml:space="preserve">兆</t>
    </r>
    <r>
      <rPr>
        <sz val="10"/>
        <rFont val="游ゴシック"/>
        <family val="0"/>
        <charset val="1"/>
      </rPr>
      <t xml:space="preserve">7,696</t>
    </r>
    <r>
      <rPr>
        <sz val="10"/>
        <rFont val="Noto Sans CJK SC"/>
        <family val="2"/>
      </rPr>
      <t xml:space="preserve">億円</t>
    </r>
  </si>
  <si>
    <t xml:space="preserve">結論</t>
  </si>
  <si>
    <r>
      <rPr>
        <sz val="10"/>
        <rFont val="Noto Sans CJK SC"/>
        <family val="2"/>
      </rPr>
      <t xml:space="preserve">総括資料の「</t>
    </r>
    <r>
      <rPr>
        <sz val="10"/>
        <rFont val="游ゴシック"/>
        <family val="0"/>
        <charset val="1"/>
      </rPr>
      <t xml:space="preserve">19.16%</t>
    </r>
    <r>
      <rPr>
        <sz val="10"/>
        <rFont val="Noto Sans CJK SC"/>
        <family val="2"/>
      </rPr>
      <t xml:space="preserve">」は誤記。</t>
    </r>
    <r>
      <rPr>
        <sz val="10"/>
        <rFont val="游ゴシック"/>
        <family val="0"/>
        <charset val="1"/>
      </rPr>
      <t xml:space="preserve">18.30%</t>
    </r>
    <r>
      <rPr>
        <sz val="10"/>
        <rFont val="Noto Sans CJK SC"/>
        <family val="2"/>
      </rPr>
      <t xml:space="preserve">（令和</t>
    </r>
    <r>
      <rPr>
        <sz val="10"/>
        <rFont val="游ゴシック"/>
        <family val="0"/>
        <charset val="1"/>
      </rPr>
      <t xml:space="preserve">6</t>
    </r>
    <r>
      <rPr>
        <sz val="10"/>
        <rFont val="Noto Sans CJK SC"/>
        <family val="2"/>
      </rPr>
      <t xml:space="preserve">年度分確報）が正。</t>
    </r>
  </si>
  <si>
    <r>
      <rPr>
        <sz val="10"/>
        <rFont val="Noto Sans CJK SC"/>
        <family val="2"/>
      </rPr>
      <t xml:space="preserve">いずれの年度でも</t>
    </r>
    <r>
      <rPr>
        <sz val="10"/>
        <rFont val="游ゴシック"/>
        <family val="0"/>
        <charset val="1"/>
      </rPr>
      <t xml:space="preserve">19.16%</t>
    </r>
    <r>
      <rPr>
        <sz val="10"/>
        <rFont val="Noto Sans CJK SC"/>
        <family val="2"/>
      </rPr>
      <t xml:space="preserve">という値は再現されない</t>
    </r>
  </si>
</sst>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charset val="1"/>
    </font>
    <font>
      <sz val="10"/>
      <name val="游ゴシック"/>
      <family val="0"/>
      <charset val="1"/>
    </font>
    <font>
      <sz val="10"/>
      <name val="Noto Sans CJK SC"/>
      <family val="2"/>
      <charset val="1"/>
    </font>
    <font>
      <b val="true"/>
      <sz val="10"/>
      <name val="游ゴシック"/>
      <family val="0"/>
      <charset val="1"/>
    </font>
    <font>
      <b val="true"/>
      <sz val="10"/>
      <name val="Noto Sans CJK SC"/>
      <family val="2"/>
      <charset val="1"/>
    </font>
    <font>
      <i val="true"/>
      <sz val="9"/>
      <color rgb="FF666666"/>
      <name val="Noto Sans CJK SC"/>
      <family val="2"/>
      <charset val="1"/>
    </font>
    <font>
      <i val="true"/>
      <sz val="9"/>
      <color rgb="FF666666"/>
      <name val="游ゴシック"/>
      <family val="0"/>
      <charset val="1"/>
    </font>
    <font>
      <b val="true"/>
      <sz val="9"/>
      <color rgb="FF9C5700"/>
      <name val="Noto Sans CJK SC"/>
      <family val="2"/>
      <charset val="1"/>
    </font>
    <font>
      <b val="true"/>
      <sz val="12"/>
      <color rgb="FFFFFFFF"/>
      <name val="Noto Sans CJK SC"/>
      <family val="2"/>
    </font>
    <font>
      <b val="true"/>
      <sz val="12"/>
      <color rgb="FFFFFFFF"/>
      <name val="游ゴシック"/>
      <family val="0"/>
      <charset val="1"/>
    </font>
    <font>
      <sz val="10"/>
      <name val="Noto Sans CJK SC"/>
      <family val="2"/>
    </font>
    <font>
      <b val="true"/>
      <sz val="10"/>
      <color rgb="FFFFFFFF"/>
      <name val="游ゴシック"/>
      <family val="0"/>
      <charset val="1"/>
    </font>
    <font>
      <b val="true"/>
      <sz val="10"/>
      <color rgb="FFFFFFFF"/>
      <name val="Noto Sans CJK SC"/>
      <family val="2"/>
    </font>
    <font>
      <b val="true"/>
      <sz val="9"/>
      <color rgb="FF9C5700"/>
      <name val="Noto Sans CJK SC"/>
      <family val="2"/>
    </font>
    <font>
      <b val="true"/>
      <sz val="9"/>
      <color rgb="FF9C5700"/>
      <name val="游ゴシック"/>
      <family val="0"/>
      <charset val="1"/>
    </font>
    <font>
      <b val="true"/>
      <sz val="10"/>
      <name val="Noto Sans CJK SC"/>
      <family val="2"/>
    </font>
    <font>
      <i val="true"/>
      <sz val="9"/>
      <color rgb="FF666666"/>
      <name val="Noto Sans CJK SC"/>
      <family val="2"/>
    </font>
  </fonts>
  <fills count="6">
    <fill>
      <patternFill patternType="none"/>
    </fill>
    <fill>
      <patternFill patternType="gray125"/>
    </fill>
    <fill>
      <patternFill patternType="solid">
        <fgColor rgb="FF2E4057"/>
        <bgColor rgb="FF333399"/>
      </patternFill>
    </fill>
    <fill>
      <patternFill patternType="solid">
        <fgColor rgb="FFD9E2F3"/>
        <bgColor rgb="FFE8F5E9"/>
      </patternFill>
    </fill>
    <fill>
      <patternFill patternType="solid">
        <fgColor rgb="FFFFF2CC"/>
        <bgColor rgb="FFE8F5E9"/>
      </patternFill>
    </fill>
    <fill>
      <patternFill patternType="solid">
        <fgColor rgb="FFE8F5E9"/>
        <bgColor rgb="FFFFF2CC"/>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right"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6" fontId="7" fillId="3"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right" vertical="center"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right" vertical="center" textRotation="0" wrapText="false" indent="0" shrinkToFit="false"/>
      <protection locked="true" hidden="false"/>
    </xf>
    <xf numFmtId="167" fontId="7" fillId="3"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right"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17" fillId="4" borderId="0"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E8F5E9"/>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C5700"/>
      <rgbColor rgb="FF993366"/>
      <rgbColor rgb="FF333399"/>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16"/>
    <col collapsed="false" customWidth="true" hidden="false" outlineLevel="0" max="6" min="4" style="1" width="14"/>
    <col collapsed="false" customWidth="true" hidden="false" outlineLevel="0" max="8" min="7" style="1" width="12"/>
    <col collapsed="false" customWidth="true" hidden="false" outlineLevel="0" max="9" min="9" style="1" width="10"/>
    <col collapsed="false" customWidth="true" hidden="false" outlineLevel="0" max="10" min="10" style="1" width="16"/>
    <col collapsed="false" customWidth="true" hidden="false" outlineLevel="0" max="11" min="11" style="1" width="30"/>
  </cols>
  <sheetData>
    <row r="1" customFormat="false" ht="39.7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true" outlineLevel="0" collapsed="false">
      <c r="A2" s="3" t="n">
        <v>1</v>
      </c>
      <c r="B2" s="4" t="s">
        <v>11</v>
      </c>
      <c r="C2" s="4" t="s">
        <v>12</v>
      </c>
      <c r="D2" s="5" t="n">
        <v>182290</v>
      </c>
      <c r="E2" s="5" t="n">
        <v>200770</v>
      </c>
      <c r="F2" s="5" t="n">
        <v>206040</v>
      </c>
      <c r="G2" s="5" t="n">
        <f aca="false">F2-D2</f>
        <v>23750</v>
      </c>
      <c r="H2" s="5" t="n">
        <f aca="false">F2-E2</f>
        <v>5270</v>
      </c>
      <c r="I2" s="6" t="n">
        <f aca="false">F2/$F$21</f>
        <v>0.246061981250373</v>
      </c>
      <c r="J2" s="4" t="s">
        <v>13</v>
      </c>
      <c r="K2" s="4" t="s">
        <v>14</v>
      </c>
    </row>
    <row r="3" customFormat="false" ht="15" hidden="false" customHeight="true" outlineLevel="0" collapsed="false">
      <c r="A3" s="3" t="n">
        <v>2</v>
      </c>
      <c r="B3" s="4" t="s">
        <v>15</v>
      </c>
      <c r="C3" s="4" t="s">
        <v>12</v>
      </c>
      <c r="D3" s="5" t="n">
        <v>44370</v>
      </c>
      <c r="E3" s="5" t="n">
        <v>45820</v>
      </c>
      <c r="F3" s="5" t="n">
        <v>47210</v>
      </c>
      <c r="G3" s="5" t="n">
        <f aca="false">F3-D3</f>
        <v>2840</v>
      </c>
      <c r="H3" s="5" t="n">
        <f aca="false">F3-E3</f>
        <v>1390</v>
      </c>
      <c r="I3" s="6" t="n">
        <f aca="false">F3/$F$21</f>
        <v>0.0563802472084553</v>
      </c>
      <c r="J3" s="4" t="s">
        <v>13</v>
      </c>
      <c r="K3" s="4" t="s">
        <v>14</v>
      </c>
    </row>
    <row r="4" customFormat="false" ht="15" hidden="false" customHeight="true" outlineLevel="0" collapsed="false">
      <c r="A4" s="3" t="n">
        <v>3</v>
      </c>
      <c r="B4" s="4" t="s">
        <v>16</v>
      </c>
      <c r="C4" s="4" t="s">
        <v>17</v>
      </c>
      <c r="D4" s="5" t="n">
        <v>0</v>
      </c>
      <c r="E4" s="5" t="n">
        <v>0</v>
      </c>
      <c r="F4" s="5" t="n">
        <v>380</v>
      </c>
      <c r="G4" s="5" t="n">
        <f aca="false">F4-D4</f>
        <v>380</v>
      </c>
      <c r="H4" s="5" t="n">
        <f aca="false">F4-E4</f>
        <v>380</v>
      </c>
      <c r="I4" s="6" t="n">
        <f aca="false">F4/$F$21</f>
        <v>0.000453812623156386</v>
      </c>
      <c r="J4" s="4" t="s">
        <v>18</v>
      </c>
      <c r="K4" s="4" t="s">
        <v>19</v>
      </c>
    </row>
    <row r="5" customFormat="false" ht="15" hidden="false" customHeight="true" outlineLevel="0" collapsed="false">
      <c r="A5" s="3" t="n">
        <v>4</v>
      </c>
      <c r="B5" s="4" t="s">
        <v>20</v>
      </c>
      <c r="C5" s="4" t="s">
        <v>20</v>
      </c>
      <c r="D5" s="5" t="n">
        <v>192450</v>
      </c>
      <c r="E5" s="5" t="n">
        <v>195960</v>
      </c>
      <c r="F5" s="5" t="n">
        <v>206960</v>
      </c>
      <c r="G5" s="5" t="n">
        <f aca="false">F5-D5</f>
        <v>14510</v>
      </c>
      <c r="H5" s="5" t="n">
        <f aca="false">F5-E5</f>
        <v>11000</v>
      </c>
      <c r="I5" s="6" t="n">
        <f aca="false">F5/$F$21</f>
        <v>0.24716068549591</v>
      </c>
      <c r="J5" s="4" t="s">
        <v>21</v>
      </c>
      <c r="K5" s="4" t="s">
        <v>22</v>
      </c>
    </row>
    <row r="6" customFormat="false" ht="15" hidden="false" customHeight="true" outlineLevel="0" collapsed="false">
      <c r="A6" s="3" t="n">
        <v>5</v>
      </c>
      <c r="B6" s="4" t="s">
        <v>23</v>
      </c>
      <c r="C6" s="4" t="s">
        <v>24</v>
      </c>
      <c r="D6" s="5" t="n">
        <v>0</v>
      </c>
      <c r="E6" s="5" t="n">
        <v>0</v>
      </c>
      <c r="F6" s="5" t="n">
        <v>5760</v>
      </c>
      <c r="G6" s="5" t="n">
        <f aca="false">F6-D6</f>
        <v>5760</v>
      </c>
      <c r="H6" s="5" t="n">
        <f aca="false">F6-E6</f>
        <v>5760</v>
      </c>
      <c r="I6" s="6" t="n">
        <f aca="false">F6/$F$21</f>
        <v>0.0068788439720547</v>
      </c>
      <c r="J6" s="4" t="s">
        <v>18</v>
      </c>
      <c r="K6" s="4" t="s">
        <v>19</v>
      </c>
    </row>
    <row r="7" customFormat="false" ht="29.25" hidden="false" customHeight="true" outlineLevel="0" collapsed="false">
      <c r="A7" s="3" t="n">
        <v>6</v>
      </c>
      <c r="B7" s="4" t="s">
        <v>25</v>
      </c>
      <c r="C7" s="4" t="s">
        <v>26</v>
      </c>
      <c r="D7" s="5" t="n">
        <v>34610</v>
      </c>
      <c r="E7" s="5" t="n">
        <v>36930</v>
      </c>
      <c r="F7" s="5" t="n">
        <v>38180</v>
      </c>
      <c r="G7" s="5" t="n">
        <f aca="false">F7-D7</f>
        <v>3570</v>
      </c>
      <c r="H7" s="5" t="n">
        <f aca="false">F7-E7</f>
        <v>1250</v>
      </c>
      <c r="I7" s="6" t="n">
        <f aca="false">F7/$F$21</f>
        <v>0.0455962261897653</v>
      </c>
      <c r="J7" s="4" t="s">
        <v>13</v>
      </c>
      <c r="K7" s="4" t="s">
        <v>27</v>
      </c>
    </row>
    <row r="8" customFormat="false" ht="15" hidden="false" customHeight="true" outlineLevel="0" collapsed="false">
      <c r="A8" s="3" t="n">
        <v>7</v>
      </c>
      <c r="B8" s="4" t="s">
        <v>28</v>
      </c>
      <c r="C8" s="4" t="s">
        <v>29</v>
      </c>
      <c r="D8" s="5" t="n">
        <v>249080</v>
      </c>
      <c r="E8" s="5" t="n">
        <v>255430</v>
      </c>
      <c r="F8" s="5" t="n">
        <v>266880</v>
      </c>
      <c r="G8" s="5" t="n">
        <f aca="false">F8-D8</f>
        <v>17800</v>
      </c>
      <c r="H8" s="5" t="n">
        <f aca="false">F8-E8</f>
        <v>11450</v>
      </c>
      <c r="I8" s="6" t="n">
        <f aca="false">F8/$F$21</f>
        <v>0.318719770705201</v>
      </c>
      <c r="J8" s="4" t="s">
        <v>30</v>
      </c>
      <c r="K8" s="4" t="s">
        <v>31</v>
      </c>
    </row>
    <row r="9" customFormat="false" ht="15" hidden="false" customHeight="true" outlineLevel="0" collapsed="false">
      <c r="A9" s="3" t="n">
        <v>8</v>
      </c>
      <c r="B9" s="4" t="s">
        <v>32</v>
      </c>
      <c r="C9" s="4" t="s">
        <v>33</v>
      </c>
      <c r="D9" s="5" t="n">
        <v>11740</v>
      </c>
      <c r="E9" s="5" t="n">
        <v>11120</v>
      </c>
      <c r="F9" s="5" t="n">
        <v>11470</v>
      </c>
      <c r="G9" s="5" t="n">
        <f aca="false">F9-D9</f>
        <v>-270</v>
      </c>
      <c r="H9" s="5" t="n">
        <f aca="false">F9-E9</f>
        <v>350</v>
      </c>
      <c r="I9" s="6" t="n">
        <f aca="false">F9/$F$21</f>
        <v>0.013697975756852</v>
      </c>
      <c r="J9" s="4" t="s">
        <v>34</v>
      </c>
      <c r="K9" s="4" t="s">
        <v>35</v>
      </c>
    </row>
    <row r="10" customFormat="false" ht="15" hidden="false" customHeight="true" outlineLevel="0" collapsed="false">
      <c r="A10" s="3" t="n">
        <v>9</v>
      </c>
      <c r="B10" s="4" t="s">
        <v>36</v>
      </c>
      <c r="C10" s="4" t="s">
        <v>33</v>
      </c>
      <c r="D10" s="5" t="n">
        <v>9530</v>
      </c>
      <c r="E10" s="5" t="n">
        <v>9530</v>
      </c>
      <c r="F10" s="5" t="n">
        <v>9760</v>
      </c>
      <c r="G10" s="5" t="n">
        <f aca="false">F10-D10</f>
        <v>230</v>
      </c>
      <c r="H10" s="5" t="n">
        <f aca="false">F10-E10</f>
        <v>230</v>
      </c>
      <c r="I10" s="6" t="n">
        <f aca="false">F10/$F$21</f>
        <v>0.0116558189526482</v>
      </c>
      <c r="J10" s="4" t="s">
        <v>34</v>
      </c>
      <c r="K10" s="4" t="s">
        <v>35</v>
      </c>
    </row>
    <row r="11" customFormat="false" ht="15" hidden="false" customHeight="true" outlineLevel="0" collapsed="false">
      <c r="A11" s="3" t="n">
        <v>10</v>
      </c>
      <c r="B11" s="4" t="s">
        <v>37</v>
      </c>
      <c r="C11" s="4" t="s">
        <v>33</v>
      </c>
      <c r="D11" s="5" t="n">
        <v>19760</v>
      </c>
      <c r="E11" s="5" t="n">
        <v>18000</v>
      </c>
      <c r="F11" s="5" t="n">
        <v>9720</v>
      </c>
      <c r="G11" s="5" t="n">
        <f aca="false">F11-D11</f>
        <v>-10040</v>
      </c>
      <c r="H11" s="5" t="n">
        <f aca="false">F11-E11</f>
        <v>-8280</v>
      </c>
      <c r="I11" s="6" t="n">
        <f aca="false">F11/$F$21</f>
        <v>0.0116080492028423</v>
      </c>
      <c r="J11" s="4" t="s">
        <v>34</v>
      </c>
      <c r="K11" s="4" t="s">
        <v>35</v>
      </c>
    </row>
    <row r="12" customFormat="false" ht="15" hidden="false" customHeight="true" outlineLevel="0" collapsed="false">
      <c r="A12" s="3" t="n">
        <v>11</v>
      </c>
      <c r="B12" s="4" t="s">
        <v>38</v>
      </c>
      <c r="C12" s="4" t="s">
        <v>33</v>
      </c>
      <c r="D12" s="5" t="n">
        <v>40</v>
      </c>
      <c r="E12" s="5" t="n">
        <v>40</v>
      </c>
      <c r="F12" s="5" t="n">
        <v>40</v>
      </c>
      <c r="G12" s="5" t="n">
        <f aca="false">F12-D12</f>
        <v>0</v>
      </c>
      <c r="H12" s="5" t="n">
        <f aca="false">F12-E12</f>
        <v>0</v>
      </c>
      <c r="I12" s="6" t="n">
        <f aca="false">F12/$F$21</f>
        <v>4.77697498059354E-005</v>
      </c>
      <c r="J12" s="4" t="s">
        <v>34</v>
      </c>
      <c r="K12" s="4" t="s">
        <v>35</v>
      </c>
    </row>
    <row r="13" customFormat="false" ht="15" hidden="false" customHeight="true" outlineLevel="0" collapsed="false">
      <c r="A13" s="3" t="n">
        <v>12</v>
      </c>
      <c r="B13" s="4" t="s">
        <v>39</v>
      </c>
      <c r="C13" s="4" t="s">
        <v>33</v>
      </c>
      <c r="D13" s="5" t="n">
        <v>400</v>
      </c>
      <c r="E13" s="5" t="n">
        <v>400</v>
      </c>
      <c r="F13" s="5" t="n">
        <v>400</v>
      </c>
      <c r="G13" s="5" t="n">
        <f aca="false">F13-D13</f>
        <v>0</v>
      </c>
      <c r="H13" s="5" t="n">
        <f aca="false">F13-E13</f>
        <v>0</v>
      </c>
      <c r="I13" s="6" t="n">
        <f aca="false">F13/$F$21</f>
        <v>0.000477697498059354</v>
      </c>
      <c r="J13" s="4" t="s">
        <v>34</v>
      </c>
      <c r="K13" s="4" t="s">
        <v>35</v>
      </c>
    </row>
    <row r="14" customFormat="false" ht="15" hidden="false" customHeight="true" outlineLevel="0" collapsed="false">
      <c r="A14" s="3" t="n">
        <v>13</v>
      </c>
      <c r="B14" s="4" t="s">
        <v>40</v>
      </c>
      <c r="C14" s="4" t="s">
        <v>33</v>
      </c>
      <c r="D14" s="5" t="n">
        <v>6010</v>
      </c>
      <c r="E14" s="5" t="n">
        <v>6010</v>
      </c>
      <c r="F14" s="5" t="n">
        <v>5980</v>
      </c>
      <c r="G14" s="5" t="n">
        <f aca="false">F14-D14</f>
        <v>-30</v>
      </c>
      <c r="H14" s="5" t="n">
        <f aca="false">F14-E14</f>
        <v>-30</v>
      </c>
      <c r="I14" s="6" t="n">
        <f aca="false">F14/$F$21</f>
        <v>0.00714157759598734</v>
      </c>
      <c r="J14" s="4" t="s">
        <v>34</v>
      </c>
      <c r="K14" s="4" t="s">
        <v>35</v>
      </c>
    </row>
    <row r="15" customFormat="false" ht="15" hidden="false" customHeight="true" outlineLevel="0" collapsed="false">
      <c r="A15" s="3" t="n">
        <v>14</v>
      </c>
      <c r="B15" s="4" t="s">
        <v>41</v>
      </c>
      <c r="C15" s="4" t="s">
        <v>33</v>
      </c>
      <c r="D15" s="5" t="n">
        <v>3070</v>
      </c>
      <c r="E15" s="5" t="n">
        <v>3070</v>
      </c>
      <c r="F15" s="5" t="n">
        <v>3140</v>
      </c>
      <c r="G15" s="5" t="n">
        <f aca="false">F15-D15</f>
        <v>70</v>
      </c>
      <c r="H15" s="5" t="n">
        <f aca="false">F15-E15</f>
        <v>70</v>
      </c>
      <c r="I15" s="6" t="n">
        <f aca="false">F15/$F$21</f>
        <v>0.00374992535976593</v>
      </c>
      <c r="J15" s="4" t="s">
        <v>34</v>
      </c>
      <c r="K15" s="4" t="s">
        <v>35</v>
      </c>
    </row>
    <row r="16" customFormat="false" ht="15" hidden="false" customHeight="true" outlineLevel="0" collapsed="false">
      <c r="A16" s="3" t="n">
        <v>15</v>
      </c>
      <c r="B16" s="4" t="s">
        <v>42</v>
      </c>
      <c r="C16" s="4" t="s">
        <v>33</v>
      </c>
      <c r="D16" s="5" t="n">
        <v>4070</v>
      </c>
      <c r="E16" s="5" t="n">
        <v>4070</v>
      </c>
      <c r="F16" s="5" t="n">
        <v>4210</v>
      </c>
      <c r="G16" s="5" t="n">
        <f aca="false">F16-D16</f>
        <v>140</v>
      </c>
      <c r="H16" s="5" t="n">
        <f aca="false">F16-E16</f>
        <v>140</v>
      </c>
      <c r="I16" s="6" t="n">
        <f aca="false">F16/$F$21</f>
        <v>0.0050277661670747</v>
      </c>
      <c r="J16" s="4" t="s">
        <v>34</v>
      </c>
      <c r="K16" s="4" t="s">
        <v>35</v>
      </c>
    </row>
    <row r="17" customFormat="false" ht="15" hidden="false" customHeight="true" outlineLevel="0" collapsed="false">
      <c r="A17" s="3" t="n">
        <v>16</v>
      </c>
      <c r="B17" s="4" t="s">
        <v>43</v>
      </c>
      <c r="C17" s="4" t="s">
        <v>44</v>
      </c>
      <c r="D17" s="5" t="n">
        <v>490</v>
      </c>
      <c r="E17" s="5" t="n">
        <v>490</v>
      </c>
      <c r="F17" s="5" t="n">
        <v>1300</v>
      </c>
      <c r="G17" s="5" t="n">
        <f aca="false">F17-D17</f>
        <v>810</v>
      </c>
      <c r="H17" s="5" t="n">
        <f aca="false">F17-E17</f>
        <v>810</v>
      </c>
      <c r="I17" s="6" t="n">
        <f aca="false">F17/$F$21</f>
        <v>0.0015525168686929</v>
      </c>
      <c r="J17" s="4" t="s">
        <v>45</v>
      </c>
      <c r="K17" s="4" t="s">
        <v>46</v>
      </c>
    </row>
    <row r="18" customFormat="false" ht="26.25" hidden="false" customHeight="true" outlineLevel="0" collapsed="false">
      <c r="A18" s="3" t="n">
        <v>17</v>
      </c>
      <c r="B18" s="4" t="s">
        <v>47</v>
      </c>
      <c r="C18" s="4" t="s">
        <v>48</v>
      </c>
      <c r="D18" s="5" t="n">
        <v>9890</v>
      </c>
      <c r="E18" s="5" t="n">
        <v>8950</v>
      </c>
      <c r="F18" s="5" t="n">
        <v>9030</v>
      </c>
      <c r="G18" s="5" t="n">
        <f aca="false">F18-D18</f>
        <v>-860</v>
      </c>
      <c r="H18" s="5" t="n">
        <f aca="false">F18-E18</f>
        <v>80</v>
      </c>
      <c r="I18" s="6" t="n">
        <f aca="false">F18/$F$21</f>
        <v>0.0107840210186899</v>
      </c>
      <c r="J18" s="4" t="s">
        <v>49</v>
      </c>
      <c r="K18" s="4" t="s">
        <v>50</v>
      </c>
    </row>
    <row r="19" customFormat="false" ht="15" hidden="false" customHeight="true" outlineLevel="0" collapsed="false">
      <c r="A19" s="3" t="n">
        <v>18</v>
      </c>
      <c r="B19" s="4" t="s">
        <v>51</v>
      </c>
      <c r="C19" s="4" t="s">
        <v>33</v>
      </c>
      <c r="D19" s="5" t="n">
        <v>90</v>
      </c>
      <c r="E19" s="5" t="n">
        <v>90</v>
      </c>
      <c r="F19" s="5" t="n">
        <v>90</v>
      </c>
      <c r="G19" s="5" t="n">
        <f aca="false">F19-D19</f>
        <v>0</v>
      </c>
      <c r="H19" s="5" t="n">
        <f aca="false">F19-E19</f>
        <v>0</v>
      </c>
      <c r="I19" s="6" t="n">
        <f aca="false">F19/$F$21</f>
        <v>0.000107481937063355</v>
      </c>
      <c r="J19" s="4" t="s">
        <v>34</v>
      </c>
      <c r="K19" s="4" t="s">
        <v>35</v>
      </c>
    </row>
    <row r="20" customFormat="false" ht="15" hidden="false" customHeight="true" outlineLevel="0" collapsed="false">
      <c r="A20" s="3" t="n">
        <v>19</v>
      </c>
      <c r="B20" s="4" t="s">
        <v>52</v>
      </c>
      <c r="C20" s="4" t="s">
        <v>53</v>
      </c>
      <c r="D20" s="5" t="n">
        <v>10300</v>
      </c>
      <c r="E20" s="5" t="n">
        <v>10300</v>
      </c>
      <c r="F20" s="5" t="n">
        <v>10800</v>
      </c>
      <c r="G20" s="5" t="n">
        <f aca="false">F20-D20</f>
        <v>500</v>
      </c>
      <c r="H20" s="5" t="n">
        <f aca="false">F20-E20</f>
        <v>500</v>
      </c>
      <c r="I20" s="6" t="n">
        <f aca="false">F20/$F$21</f>
        <v>0.0128978324476026</v>
      </c>
      <c r="J20" s="4" t="s">
        <v>54</v>
      </c>
      <c r="K20" s="4" t="s">
        <v>55</v>
      </c>
    </row>
    <row r="21" customFormat="false" ht="29.25" hidden="false" customHeight="true" outlineLevel="0" collapsed="false">
      <c r="A21" s="7"/>
      <c r="B21" s="8" t="s">
        <v>56</v>
      </c>
      <c r="C21" s="7"/>
      <c r="D21" s="9" t="n">
        <f aca="false">SUM(D2:D20)</f>
        <v>778190</v>
      </c>
      <c r="E21" s="9" t="n">
        <f aca="false">SUM(E2:E20)</f>
        <v>806980</v>
      </c>
      <c r="F21" s="9" t="n">
        <f aca="false">SUM(F2:F20)</f>
        <v>837350</v>
      </c>
      <c r="G21" s="9" t="n">
        <f aca="false">F21-D21</f>
        <v>59160</v>
      </c>
      <c r="H21" s="9" t="n">
        <f aca="false">F21-E21</f>
        <v>30370</v>
      </c>
      <c r="I21" s="10" t="n">
        <f aca="false">F21/F21</f>
        <v>1</v>
      </c>
      <c r="J21" s="7"/>
      <c r="K21" s="7"/>
    </row>
    <row r="23" customFormat="false" ht="39" hidden="false" customHeight="true" outlineLevel="0" collapsed="false">
      <c r="B23" s="11" t="s">
        <v>57</v>
      </c>
      <c r="F23" s="12" t="n">
        <v>837350</v>
      </c>
    </row>
    <row r="24" customFormat="false" ht="26.25" hidden="false" customHeight="true" outlineLevel="0" collapsed="false">
      <c r="B24" s="11" t="s">
        <v>58</v>
      </c>
      <c r="F24" s="12" t="n">
        <f aca="false">F23-F21</f>
        <v>0</v>
      </c>
    </row>
    <row r="26" customFormat="false" ht="15" hidden="false" customHeight="true" outlineLevel="0" collapsed="false">
      <c r="B26" s="13" t="s">
        <v>59</v>
      </c>
    </row>
    <row r="27" customFormat="false" ht="15" hidden="false" customHeight="true" outlineLevel="0" collapsed="false">
      <c r="B27" s="14" t="s">
        <v>60</v>
      </c>
    </row>
    <row r="28" customFormat="false" ht="15" hidden="false" customHeight="true" outlineLevel="0" collapsed="false">
      <c r="B28" s="1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8"/>
    <col collapsed="false" customWidth="true" hidden="false" outlineLevel="0" max="4" min="4" style="1" width="10"/>
    <col collapsed="false" customWidth="true" hidden="false" outlineLevel="0" max="5" min="5" style="1" width="38"/>
    <col collapsed="false" customWidth="true" hidden="false" outlineLevel="0" max="6" min="6" style="1" width="42"/>
  </cols>
  <sheetData>
    <row r="1" customFormat="false" ht="30" hidden="false" customHeight="true" outlineLevel="0" collapsed="false">
      <c r="A1" s="2" t="s">
        <v>62</v>
      </c>
      <c r="B1" s="2" t="s">
        <v>63</v>
      </c>
      <c r="C1" s="2" t="s">
        <v>64</v>
      </c>
      <c r="D1" s="2" t="s">
        <v>65</v>
      </c>
      <c r="E1" s="2" t="s">
        <v>66</v>
      </c>
      <c r="F1" s="2" t="s">
        <v>67</v>
      </c>
    </row>
    <row r="2" customFormat="false" ht="30" hidden="false" customHeight="true" outlineLevel="0" collapsed="false">
      <c r="A2" s="15" t="s">
        <v>68</v>
      </c>
      <c r="B2" s="15"/>
      <c r="C2" s="15"/>
      <c r="D2" s="15"/>
      <c r="E2" s="15"/>
      <c r="F2" s="15"/>
    </row>
    <row r="3" customFormat="false" ht="30" hidden="false" customHeight="true" outlineLevel="0" collapsed="false"/>
    <row r="4" customFormat="false" ht="30" hidden="false" customHeight="true" outlineLevel="0" collapsed="false">
      <c r="A4" s="16" t="s">
        <v>69</v>
      </c>
      <c r="B4" s="17" t="n">
        <v>3140</v>
      </c>
      <c r="C4" s="18"/>
      <c r="D4" s="18"/>
      <c r="E4" s="16" t="s">
        <v>70</v>
      </c>
      <c r="F4" s="16" t="s">
        <v>71</v>
      </c>
    </row>
    <row r="5" customFormat="false" ht="30" hidden="false" customHeight="true" outlineLevel="0" collapsed="false">
      <c r="A5" s="16" t="s">
        <v>72</v>
      </c>
      <c r="B5" s="17" t="n">
        <v>5980</v>
      </c>
      <c r="C5" s="18"/>
      <c r="D5" s="18"/>
      <c r="E5" s="16" t="s">
        <v>73</v>
      </c>
      <c r="F5" s="16" t="s">
        <v>71</v>
      </c>
    </row>
    <row r="6" customFormat="false" ht="30" hidden="false" customHeight="true" outlineLevel="0" collapsed="false"/>
    <row r="7" customFormat="false" ht="30" hidden="false" customHeight="true" outlineLevel="0" collapsed="false">
      <c r="A7" s="19" t="s">
        <v>74</v>
      </c>
      <c r="B7" s="19"/>
      <c r="C7" s="19"/>
      <c r="D7" s="19"/>
      <c r="E7" s="19"/>
      <c r="F7" s="19"/>
    </row>
    <row r="8" customFormat="false" ht="30" hidden="false" customHeight="true" outlineLevel="0" collapsed="false">
      <c r="A8" s="4" t="s">
        <v>75</v>
      </c>
      <c r="B8" s="20" t="n">
        <v>24499</v>
      </c>
      <c r="C8" s="20" t="n">
        <v>24499</v>
      </c>
      <c r="D8" s="20" t="n">
        <f aca="false">B8-C8</f>
        <v>0</v>
      </c>
      <c r="E8" s="4" t="s">
        <v>76</v>
      </c>
      <c r="F8" s="4" t="s">
        <v>77</v>
      </c>
    </row>
    <row r="9" customFormat="false" ht="30" hidden="false" customHeight="true" outlineLevel="0" collapsed="false"/>
    <row r="10" customFormat="false" ht="30" hidden="false" customHeight="true" outlineLevel="0" collapsed="false">
      <c r="A10" s="19" t="s">
        <v>78</v>
      </c>
      <c r="B10" s="19"/>
      <c r="C10" s="19"/>
      <c r="D10" s="19"/>
      <c r="E10" s="19"/>
      <c r="F10" s="19"/>
    </row>
    <row r="11" customFormat="false" ht="30" hidden="false" customHeight="true" outlineLevel="0" collapsed="false">
      <c r="A11" s="4" t="s">
        <v>79</v>
      </c>
      <c r="B11" s="20" t="n">
        <v>1760</v>
      </c>
      <c r="C11" s="20" t="n">
        <v>1780</v>
      </c>
      <c r="D11" s="20" t="n">
        <f aca="false">B11-C11</f>
        <v>-20</v>
      </c>
      <c r="E11" s="4" t="s">
        <v>80</v>
      </c>
      <c r="F11" s="4" t="s">
        <v>81</v>
      </c>
    </row>
    <row r="12" customFormat="false" ht="30" hidden="false" customHeight="true" outlineLevel="0" collapsed="false">
      <c r="A12" s="4" t="s">
        <v>82</v>
      </c>
      <c r="B12" s="20" t="n">
        <v>40</v>
      </c>
      <c r="C12" s="20" t="n">
        <v>40</v>
      </c>
      <c r="D12" s="20" t="n">
        <f aca="false">B12-C12</f>
        <v>0</v>
      </c>
      <c r="E12" s="4" t="s">
        <v>83</v>
      </c>
      <c r="F12" s="4" t="s">
        <v>81</v>
      </c>
    </row>
    <row r="13" customFormat="false" ht="30" hidden="false" customHeight="true" outlineLevel="0" collapsed="false">
      <c r="A13" s="4" t="s">
        <v>84</v>
      </c>
      <c r="B13" s="20" t="n">
        <v>3189</v>
      </c>
      <c r="C13" s="20" t="n">
        <v>3172</v>
      </c>
      <c r="D13" s="20" t="n">
        <f aca="false">B13-C13</f>
        <v>17</v>
      </c>
      <c r="E13" s="4" t="s">
        <v>85</v>
      </c>
      <c r="F13" s="4" t="s">
        <v>81</v>
      </c>
    </row>
    <row r="14" customFormat="false" ht="30" hidden="false" customHeight="true" outlineLevel="0" collapsed="false">
      <c r="A14" s="4" t="s">
        <v>86</v>
      </c>
      <c r="B14" s="20" t="n">
        <v>145</v>
      </c>
      <c r="C14" s="20" t="n">
        <v>145</v>
      </c>
      <c r="D14" s="20" t="n">
        <f aca="false">B14-C14</f>
        <v>0</v>
      </c>
      <c r="E14" s="4" t="s">
        <v>87</v>
      </c>
      <c r="F14" s="4" t="s">
        <v>81</v>
      </c>
    </row>
    <row r="15" customFormat="false" ht="30" hidden="false" customHeight="true" outlineLevel="0" collapsed="false">
      <c r="A15" s="4" t="s">
        <v>88</v>
      </c>
      <c r="B15" s="20" t="n">
        <v>113</v>
      </c>
      <c r="C15" s="20" t="n">
        <v>113</v>
      </c>
      <c r="D15" s="20" t="n">
        <f aca="false">B15-C15</f>
        <v>0</v>
      </c>
      <c r="E15" s="4" t="s">
        <v>89</v>
      </c>
      <c r="F15" s="4" t="s">
        <v>81</v>
      </c>
    </row>
    <row r="16" customFormat="false" ht="30" hidden="false" customHeight="true" outlineLevel="0" collapsed="false">
      <c r="A16" s="4" t="s">
        <v>90</v>
      </c>
      <c r="B16" s="20" t="n">
        <v>666</v>
      </c>
      <c r="C16" s="20" t="n">
        <v>666</v>
      </c>
      <c r="D16" s="20" t="n">
        <f aca="false">B16-C16</f>
        <v>0</v>
      </c>
      <c r="E16" s="4" t="s">
        <v>91</v>
      </c>
      <c r="F16" s="4" t="s">
        <v>81</v>
      </c>
    </row>
    <row r="17" customFormat="false" ht="30" hidden="false" customHeight="true" outlineLevel="0" collapsed="false">
      <c r="A17" s="4" t="s">
        <v>92</v>
      </c>
      <c r="B17" s="20" t="n">
        <v>26065</v>
      </c>
      <c r="C17" s="20" t="n">
        <v>26016</v>
      </c>
      <c r="D17" s="20" t="n">
        <f aca="false">B17-C17</f>
        <v>49</v>
      </c>
      <c r="E17" s="4" t="s">
        <v>93</v>
      </c>
      <c r="F17" s="4" t="s">
        <v>81</v>
      </c>
    </row>
    <row r="18" customFormat="false" ht="30" hidden="false" customHeight="true" outlineLevel="0" collapsed="false">
      <c r="A18" s="8" t="s">
        <v>94</v>
      </c>
      <c r="B18" s="21" t="n">
        <f aca="false">SUM(B11:B17)</f>
        <v>31978</v>
      </c>
      <c r="C18" s="21" t="n">
        <f aca="false">SUM(C11:C17)</f>
        <v>31932</v>
      </c>
      <c r="D18" s="21" t="n">
        <f aca="false">B18-C18</f>
        <v>46</v>
      </c>
      <c r="E18" s="7"/>
      <c r="F18" s="7"/>
    </row>
    <row r="20" customFormat="false" ht="29.25" hidden="false" customHeight="true" outlineLevel="0" collapsed="false">
      <c r="A20" s="4" t="s">
        <v>95</v>
      </c>
      <c r="B20" s="20" t="n">
        <f aca="false">国税19税目!F21</f>
        <v>837350</v>
      </c>
    </row>
    <row r="21" customFormat="false" ht="15" hidden="false" customHeight="true" outlineLevel="0" collapsed="false">
      <c r="A21" s="4" t="s">
        <v>96</v>
      </c>
      <c r="B21" s="20" t="n">
        <f aca="false">B8</f>
        <v>24499</v>
      </c>
    </row>
    <row r="22" customFormat="false" ht="29.25" hidden="false" customHeight="true" outlineLevel="0" collapsed="false">
      <c r="A22" s="4" t="s">
        <v>97</v>
      </c>
      <c r="B22" s="20" t="n">
        <f aca="false">B18</f>
        <v>31978</v>
      </c>
    </row>
    <row r="23" customFormat="false" ht="43.5" hidden="false" customHeight="true" outlineLevel="0" collapsed="false">
      <c r="A23" s="8" t="s">
        <v>98</v>
      </c>
      <c r="B23" s="21" t="n">
        <f aca="false">B20+B21+B22</f>
        <v>893827</v>
      </c>
    </row>
    <row r="25" customFormat="false" ht="13.5" hidden="false" customHeight="true" outlineLevel="0" collapsed="false">
      <c r="A25" s="22" t="s">
        <v>99</v>
      </c>
      <c r="B25" s="22"/>
      <c r="C25" s="22"/>
      <c r="D25" s="22"/>
      <c r="E25" s="22"/>
      <c r="F25" s="22"/>
    </row>
    <row r="26" customFormat="false" ht="13.5" hidden="false" customHeight="true" outlineLevel="0" collapsed="false">
      <c r="A26" s="22" t="s">
        <v>100</v>
      </c>
      <c r="B26" s="22"/>
      <c r="C26" s="22"/>
      <c r="D26" s="22"/>
      <c r="E26" s="22"/>
      <c r="F26" s="22"/>
    </row>
    <row r="27" customFormat="false" ht="13.5" hidden="false" customHeight="true" outlineLevel="0" collapsed="false">
      <c r="A27" s="22" t="s">
        <v>101</v>
      </c>
      <c r="B27" s="22"/>
      <c r="C27" s="22"/>
      <c r="D27" s="22"/>
      <c r="E27" s="22"/>
      <c r="F27" s="22"/>
    </row>
    <row r="28" customFormat="false" ht="13.5" hidden="false" customHeight="true" outlineLevel="0" collapsed="false">
      <c r="A28" s="22" t="s">
        <v>102</v>
      </c>
      <c r="B28" s="22"/>
      <c r="C28" s="22"/>
      <c r="D28" s="22"/>
      <c r="E28" s="22"/>
      <c r="F28" s="22"/>
    </row>
    <row r="29" customFormat="false" ht="13.5" hidden="false" customHeight="true" outlineLevel="0" collapsed="false">
      <c r="A29" s="22" t="s">
        <v>103</v>
      </c>
      <c r="B29" s="22"/>
      <c r="C29" s="22"/>
      <c r="D29" s="22"/>
      <c r="E29" s="22"/>
      <c r="F29" s="22"/>
    </row>
    <row r="30" customFormat="false" ht="13.5" hidden="false" customHeight="true" outlineLevel="0" collapsed="false">
      <c r="A30" s="22" t="s">
        <v>104</v>
      </c>
      <c r="B30" s="22"/>
      <c r="C30" s="22"/>
      <c r="D30" s="22"/>
      <c r="E30" s="22"/>
      <c r="F30" s="22"/>
    </row>
    <row r="31" customFormat="false" ht="13.5" hidden="false" customHeight="true" outlineLevel="0" collapsed="false">
      <c r="A31" s="22" t="s">
        <v>105</v>
      </c>
      <c r="B31" s="22"/>
      <c r="C31" s="22"/>
      <c r="D31" s="22"/>
      <c r="E31" s="22"/>
      <c r="F31" s="22"/>
    </row>
    <row r="32" customFormat="false" ht="15" hidden="false" customHeight="true" outlineLevel="0" collapsed="false">
      <c r="A32" s="22" t="s">
        <v>106</v>
      </c>
      <c r="B32" s="22"/>
      <c r="C32" s="22"/>
      <c r="D32" s="22"/>
      <c r="E32" s="22"/>
      <c r="F32" s="22"/>
    </row>
  </sheetData>
  <mergeCells count="11">
    <mergeCell ref="A2:F2"/>
    <mergeCell ref="A7:F7"/>
    <mergeCell ref="A10:F10"/>
    <mergeCell ref="A25:F25"/>
    <mergeCell ref="A26:F26"/>
    <mergeCell ref="A27:F27"/>
    <mergeCell ref="A28:F28"/>
    <mergeCell ref="A29:F29"/>
    <mergeCell ref="A30:F30"/>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4" min="3" style="0" width="22"/>
    <col collapsed="false" customWidth="true" hidden="false" outlineLevel="0" max="5" min="5" style="0" width="40"/>
    <col collapsed="false" customWidth="true" hidden="false" outlineLevel="0" max="6" min="6" style="0" width="38"/>
  </cols>
  <sheetData>
    <row r="1" customFormat="false" ht="25.5" hidden="false" customHeight="true" outlineLevel="0" collapsed="false">
      <c r="A1" s="23" t="s">
        <v>107</v>
      </c>
      <c r="B1" s="23"/>
      <c r="C1" s="23"/>
      <c r="D1" s="23"/>
      <c r="E1" s="23"/>
      <c r="F1" s="23"/>
    </row>
    <row r="2" customFormat="false" ht="143.25" hidden="false" customHeight="false" outlineLevel="0" collapsed="false">
      <c r="A2" s="24" t="s">
        <v>108</v>
      </c>
      <c r="B2" s="24"/>
      <c r="C2" s="25"/>
      <c r="D2" s="24"/>
      <c r="E2" s="24"/>
      <c r="F2" s="24"/>
    </row>
    <row r="3" customFormat="false" ht="29.85" hidden="false" customHeight="false" outlineLevel="0" collapsed="false">
      <c r="A3" s="24" t="s">
        <v>109</v>
      </c>
      <c r="B3" s="24" t="s">
        <v>110</v>
      </c>
      <c r="C3" s="25" t="n">
        <v>375687</v>
      </c>
      <c r="D3" s="26" t="s">
        <v>111</v>
      </c>
      <c r="E3" s="24" t="s">
        <v>112</v>
      </c>
      <c r="F3" s="24" t="s">
        <v>113</v>
      </c>
    </row>
    <row r="4" customFormat="false" ht="29.85" hidden="false" customHeight="false" outlineLevel="0" collapsed="false">
      <c r="A4" s="24" t="s">
        <v>114</v>
      </c>
      <c r="B4" s="24" t="s">
        <v>115</v>
      </c>
      <c r="C4" s="25" t="n">
        <v>13221</v>
      </c>
      <c r="D4" s="24" t="s">
        <v>116</v>
      </c>
      <c r="E4" s="24" t="s">
        <v>117</v>
      </c>
      <c r="F4" s="24" t="s">
        <v>118</v>
      </c>
    </row>
    <row r="5" customFormat="false" ht="44" hidden="false" customHeight="false" outlineLevel="0" collapsed="false">
      <c r="A5" s="24" t="s">
        <v>119</v>
      </c>
      <c r="B5" s="24" t="s">
        <v>120</v>
      </c>
      <c r="C5" s="25" t="n">
        <v>125333</v>
      </c>
      <c r="D5" s="24" t="s">
        <v>121</v>
      </c>
      <c r="E5" s="24" t="s">
        <v>122</v>
      </c>
      <c r="F5" s="24" t="s">
        <v>123</v>
      </c>
    </row>
    <row r="6" customFormat="false" ht="29.85" hidden="false" customHeight="false" outlineLevel="0" collapsed="false">
      <c r="A6" s="24" t="s">
        <v>124</v>
      </c>
      <c r="B6" s="24" t="s">
        <v>125</v>
      </c>
      <c r="C6" s="25" t="n">
        <v>10176</v>
      </c>
      <c r="D6" s="26" t="s">
        <v>126</v>
      </c>
      <c r="E6" s="24" t="s">
        <v>127</v>
      </c>
      <c r="F6" s="24" t="s">
        <v>128</v>
      </c>
    </row>
    <row r="7" customFormat="false" ht="44" hidden="false" customHeight="false" outlineLevel="0" collapsed="false">
      <c r="A7" s="24" t="s">
        <v>129</v>
      </c>
      <c r="B7" s="24" t="s">
        <v>130</v>
      </c>
      <c r="C7" s="25" t="n">
        <v>21943</v>
      </c>
      <c r="D7" s="24" t="s">
        <v>131</v>
      </c>
      <c r="E7" s="24" t="s">
        <v>132</v>
      </c>
      <c r="F7" s="24" t="s">
        <v>133</v>
      </c>
    </row>
    <row r="8" customFormat="false" ht="29.85" hidden="false" customHeight="false" outlineLevel="0" collapsed="false">
      <c r="A8" s="24" t="s">
        <v>134</v>
      </c>
      <c r="B8" s="24" t="s">
        <v>135</v>
      </c>
      <c r="C8" s="27" t="s">
        <v>136</v>
      </c>
      <c r="D8" s="26" t="s">
        <v>137</v>
      </c>
      <c r="E8" s="24" t="s">
        <v>138</v>
      </c>
      <c r="F8" s="24" t="s">
        <v>139</v>
      </c>
    </row>
    <row r="9" customFormat="false" ht="29.85" hidden="false" customHeight="false" outlineLevel="0" collapsed="false">
      <c r="A9" s="24" t="s">
        <v>140</v>
      </c>
      <c r="B9" s="26" t="s">
        <v>141</v>
      </c>
      <c r="C9" s="25" t="n">
        <v>6000</v>
      </c>
      <c r="D9" s="24" t="s">
        <v>142</v>
      </c>
      <c r="E9" s="24" t="s">
        <v>143</v>
      </c>
      <c r="F9" s="24" t="s">
        <v>144</v>
      </c>
    </row>
    <row r="10" customFormat="false" ht="44" hidden="false" customHeight="false" outlineLevel="0" collapsed="false">
      <c r="A10" s="24" t="s">
        <v>145</v>
      </c>
      <c r="B10" s="26"/>
      <c r="C10" s="25" t="n">
        <f aca="false">C3+C4+C6+C7+C9</f>
        <v>427027</v>
      </c>
      <c r="D10" s="26"/>
      <c r="E10" s="26"/>
      <c r="F10" s="26"/>
    </row>
    <row r="11" customFormat="false" ht="58.2" hidden="false" customHeight="false" outlineLevel="0" collapsed="false">
      <c r="A11" s="24" t="s">
        <v>146</v>
      </c>
      <c r="B11" s="26"/>
      <c r="C11" s="25"/>
      <c r="D11" s="26"/>
      <c r="E11" s="26"/>
      <c r="F11" s="26"/>
    </row>
    <row r="12" customFormat="false" ht="58.2" hidden="false" customHeight="false" outlineLevel="0" collapsed="false">
      <c r="A12" s="24" t="s">
        <v>147</v>
      </c>
      <c r="B12" s="26"/>
      <c r="C12" s="25"/>
      <c r="D12" s="26"/>
      <c r="E12" s="26"/>
      <c r="F12" s="26"/>
    </row>
    <row r="13" customFormat="false" ht="58.2" hidden="false" customHeight="false" outlineLevel="0" collapsed="false">
      <c r="A13" s="24" t="s">
        <v>148</v>
      </c>
      <c r="B13" s="26"/>
      <c r="C13" s="25"/>
      <c r="D13" s="26"/>
      <c r="E13" s="26"/>
      <c r="F13" s="26"/>
    </row>
    <row r="14" customFormat="false" ht="58.2" hidden="false" customHeight="false" outlineLevel="0" collapsed="false">
      <c r="A14" s="24" t="s">
        <v>149</v>
      </c>
      <c r="B14" s="26"/>
      <c r="C14" s="25"/>
      <c r="D14" s="26"/>
      <c r="E14" s="26"/>
      <c r="F14" s="26"/>
    </row>
    <row r="15" customFormat="false" ht="58.2" hidden="false" customHeight="false" outlineLevel="0" collapsed="false">
      <c r="A15" s="24" t="s">
        <v>150</v>
      </c>
      <c r="B15" s="26"/>
      <c r="C15" s="25"/>
      <c r="D15" s="26"/>
      <c r="E15" s="26"/>
      <c r="F15" s="26"/>
    </row>
    <row r="17" customFormat="false" ht="25.5" hidden="false" customHeight="true" outlineLevel="0" collapsed="false">
      <c r="A17" s="23" t="s">
        <v>151</v>
      </c>
      <c r="B17" s="23"/>
      <c r="C17" s="23"/>
      <c r="D17" s="23"/>
      <c r="E17" s="23"/>
      <c r="F17" s="23"/>
    </row>
    <row r="18" customFormat="false" ht="129.1" hidden="false" customHeight="false" outlineLevel="0" collapsed="false">
      <c r="A18" s="24" t="s">
        <v>152</v>
      </c>
      <c r="B18" s="26"/>
      <c r="C18" s="25"/>
      <c r="D18" s="26"/>
      <c r="E18" s="26"/>
      <c r="F18" s="26"/>
    </row>
    <row r="19" customFormat="false" ht="29.85" hidden="false" customHeight="false" outlineLevel="0" collapsed="false">
      <c r="A19" s="24" t="s">
        <v>153</v>
      </c>
      <c r="B19" s="24" t="s">
        <v>154</v>
      </c>
      <c r="C19" s="25" t="n">
        <v>1606</v>
      </c>
      <c r="D19" s="24" t="s">
        <v>155</v>
      </c>
      <c r="E19" s="24" t="s">
        <v>156</v>
      </c>
      <c r="F19" s="24" t="s">
        <v>157</v>
      </c>
    </row>
    <row r="20" customFormat="false" ht="58.2" hidden="false" customHeight="false" outlineLevel="0" collapsed="false">
      <c r="A20" s="24" t="s">
        <v>158</v>
      </c>
      <c r="B20" s="24" t="s">
        <v>159</v>
      </c>
      <c r="C20" s="25" t="n">
        <v>251</v>
      </c>
      <c r="D20" s="24" t="s">
        <v>160</v>
      </c>
      <c r="E20" s="24" t="s">
        <v>161</v>
      </c>
      <c r="F20" s="24" t="s">
        <v>162</v>
      </c>
    </row>
    <row r="21" customFormat="false" ht="44" hidden="false" customHeight="false" outlineLevel="0" collapsed="false">
      <c r="A21" s="24" t="s">
        <v>163</v>
      </c>
      <c r="B21" s="24" t="s">
        <v>164</v>
      </c>
      <c r="C21" s="25" t="n">
        <v>44</v>
      </c>
      <c r="D21" s="24" t="s">
        <v>165</v>
      </c>
      <c r="E21" s="24" t="s">
        <v>166</v>
      </c>
      <c r="F21" s="24" t="s">
        <v>167</v>
      </c>
    </row>
    <row r="22" customFormat="false" ht="29.85" hidden="false" customHeight="false" outlineLevel="0" collapsed="false">
      <c r="A22" s="24" t="s">
        <v>168</v>
      </c>
      <c r="B22" s="24" t="s">
        <v>169</v>
      </c>
      <c r="C22" s="27" t="s">
        <v>170</v>
      </c>
      <c r="D22" s="24" t="s">
        <v>171</v>
      </c>
      <c r="E22" s="24" t="s">
        <v>172</v>
      </c>
      <c r="F22" s="24" t="s">
        <v>173</v>
      </c>
    </row>
    <row r="23" customFormat="false" ht="29.85" hidden="false" customHeight="false" outlineLevel="0" collapsed="false">
      <c r="A23" s="24" t="s">
        <v>174</v>
      </c>
      <c r="B23" s="24" t="s">
        <v>169</v>
      </c>
      <c r="C23" s="27" t="s">
        <v>175</v>
      </c>
      <c r="D23" s="24" t="s">
        <v>171</v>
      </c>
      <c r="E23" s="24" t="s">
        <v>176</v>
      </c>
      <c r="F23" s="24" t="s">
        <v>177</v>
      </c>
    </row>
    <row r="24" customFormat="false" ht="29.85" hidden="false" customHeight="false" outlineLevel="0" collapsed="false">
      <c r="A24" s="24" t="s">
        <v>178</v>
      </c>
      <c r="B24" s="24" t="s">
        <v>169</v>
      </c>
      <c r="C24" s="27" t="s">
        <v>170</v>
      </c>
      <c r="D24" s="24" t="s">
        <v>171</v>
      </c>
      <c r="E24" s="24" t="s">
        <v>179</v>
      </c>
      <c r="F24" s="24" t="s">
        <v>180</v>
      </c>
    </row>
    <row r="25" customFormat="false" ht="44" hidden="false" customHeight="false" outlineLevel="0" collapsed="false">
      <c r="A25" s="24" t="s">
        <v>181</v>
      </c>
      <c r="B25" s="26"/>
      <c r="C25" s="25" t="n">
        <f aca="false">C3+C4+C5</f>
        <v>514241</v>
      </c>
      <c r="D25" s="26"/>
      <c r="E25" s="26"/>
      <c r="F25" s="26"/>
    </row>
    <row r="26" customFormat="false" ht="58.2" hidden="false" customHeight="false" outlineLevel="0" collapsed="false">
      <c r="A26" s="24" t="s">
        <v>182</v>
      </c>
      <c r="B26" s="26"/>
      <c r="C26" s="25"/>
      <c r="D26" s="26"/>
      <c r="E26" s="26"/>
      <c r="F26" s="26"/>
    </row>
    <row r="27" customFormat="false" ht="58.2" hidden="false" customHeight="false" outlineLevel="0" collapsed="false">
      <c r="A27" s="24" t="s">
        <v>183</v>
      </c>
      <c r="B27" s="26"/>
      <c r="C27" s="25"/>
      <c r="D27" s="26"/>
      <c r="E27" s="26"/>
      <c r="F27" s="26"/>
    </row>
    <row r="28" customFormat="false" ht="58.2" hidden="false" customHeight="false" outlineLevel="0" collapsed="false">
      <c r="A28" s="24" t="s">
        <v>184</v>
      </c>
      <c r="B28" s="26"/>
      <c r="C28" s="25"/>
      <c r="D28" s="26"/>
      <c r="E28" s="26"/>
      <c r="F28" s="26"/>
    </row>
    <row r="29" customFormat="false" ht="58.2" hidden="false" customHeight="false" outlineLevel="0" collapsed="false">
      <c r="A29" s="24" t="s">
        <v>185</v>
      </c>
      <c r="B29" s="26"/>
      <c r="C29" s="25"/>
      <c r="D29" s="26"/>
      <c r="E29" s="26"/>
      <c r="F29" s="26"/>
    </row>
  </sheetData>
  <mergeCells count="2">
    <mergeCell ref="A1:F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0"/>
    <col collapsed="false" customWidth="true" hidden="false" outlineLevel="0" max="4" min="4" style="0" width="14"/>
    <col collapsed="false" customWidth="true" hidden="false" outlineLevel="0" max="5" min="5" style="0" width="32"/>
    <col collapsed="false" customWidth="true" hidden="false" outlineLevel="0" max="6" min="6" style="0" width="30"/>
    <col collapsed="false" customWidth="true" hidden="false" outlineLevel="0" max="7" min="7" style="0" width="22"/>
    <col collapsed="false" customWidth="true" hidden="false" outlineLevel="0" max="8" min="8" style="0" width="42"/>
  </cols>
  <sheetData>
    <row r="1" customFormat="false" ht="27.75" hidden="false" customHeight="true" outlineLevel="0" collapsed="false">
      <c r="A1" s="28" t="s">
        <v>186</v>
      </c>
      <c r="B1" s="29" t="s">
        <v>187</v>
      </c>
      <c r="C1" s="29" t="s">
        <v>188</v>
      </c>
      <c r="D1" s="29" t="s">
        <v>189</v>
      </c>
      <c r="E1" s="29" t="s">
        <v>190</v>
      </c>
      <c r="F1" s="29" t="s">
        <v>191</v>
      </c>
      <c r="G1" s="29" t="s">
        <v>192</v>
      </c>
      <c r="H1" s="29" t="s">
        <v>193</v>
      </c>
    </row>
    <row r="2" customFormat="false" ht="54.75" hidden="false" customHeight="true" outlineLevel="0" collapsed="false">
      <c r="A2" s="30" t="s">
        <v>194</v>
      </c>
      <c r="B2" s="30"/>
      <c r="C2" s="30"/>
      <c r="D2" s="30"/>
      <c r="E2" s="30"/>
      <c r="F2" s="30"/>
      <c r="G2" s="30"/>
      <c r="H2" s="30"/>
    </row>
    <row r="3" customFormat="false" ht="19.5" hidden="false" customHeight="true" outlineLevel="0" collapsed="false">
      <c r="A3" s="3" t="n">
        <v>1</v>
      </c>
      <c r="B3" s="24" t="s">
        <v>195</v>
      </c>
      <c r="C3" s="24" t="s">
        <v>196</v>
      </c>
      <c r="D3" s="31" t="s">
        <v>197</v>
      </c>
      <c r="E3" s="24" t="s">
        <v>198</v>
      </c>
      <c r="F3" s="26"/>
      <c r="G3" s="26"/>
      <c r="H3" s="26"/>
    </row>
    <row r="4" customFormat="false" ht="19.5" hidden="false" customHeight="true" outlineLevel="0" collapsed="false">
      <c r="A4" s="3" t="n">
        <v>2</v>
      </c>
      <c r="B4" s="24" t="s">
        <v>199</v>
      </c>
      <c r="C4" s="24" t="s">
        <v>200</v>
      </c>
      <c r="D4" s="31" t="s">
        <v>197</v>
      </c>
      <c r="E4" s="24" t="s">
        <v>201</v>
      </c>
      <c r="F4" s="26"/>
      <c r="G4" s="26"/>
      <c r="H4" s="26"/>
    </row>
    <row r="5" customFormat="false" ht="19.5" hidden="false" customHeight="true" outlineLevel="0" collapsed="false">
      <c r="A5" s="3" t="n">
        <v>3</v>
      </c>
      <c r="B5" s="24" t="s">
        <v>199</v>
      </c>
      <c r="C5" s="24" t="s">
        <v>202</v>
      </c>
      <c r="D5" s="31" t="s">
        <v>197</v>
      </c>
      <c r="E5" s="24" t="s">
        <v>201</v>
      </c>
      <c r="F5" s="26"/>
      <c r="G5" s="26"/>
      <c r="H5" s="26"/>
    </row>
    <row r="6" customFormat="false" ht="19.5" hidden="false" customHeight="true" outlineLevel="0" collapsed="false">
      <c r="A6" s="3" t="n">
        <v>4</v>
      </c>
      <c r="B6" s="24" t="s">
        <v>199</v>
      </c>
      <c r="C6" s="24" t="s">
        <v>203</v>
      </c>
      <c r="D6" s="31" t="s">
        <v>197</v>
      </c>
      <c r="E6" s="24" t="s">
        <v>201</v>
      </c>
      <c r="F6" s="26"/>
      <c r="G6" s="26"/>
      <c r="H6" s="26"/>
    </row>
    <row r="7" customFormat="false" ht="19.5" hidden="false" customHeight="true" outlineLevel="0" collapsed="false">
      <c r="A7" s="3" t="n">
        <v>5</v>
      </c>
      <c r="B7" s="24" t="s">
        <v>199</v>
      </c>
      <c r="C7" s="24" t="s">
        <v>204</v>
      </c>
      <c r="D7" s="31" t="s">
        <v>197</v>
      </c>
      <c r="E7" s="24" t="s">
        <v>205</v>
      </c>
      <c r="F7" s="26"/>
      <c r="G7" s="26"/>
      <c r="H7" s="26"/>
    </row>
    <row r="8" customFormat="false" ht="19.5" hidden="false" customHeight="true" outlineLevel="0" collapsed="false">
      <c r="A8" s="3" t="n">
        <v>6</v>
      </c>
      <c r="B8" s="24" t="s">
        <v>199</v>
      </c>
      <c r="C8" s="24" t="s">
        <v>206</v>
      </c>
      <c r="D8" s="31" t="s">
        <v>207</v>
      </c>
      <c r="E8" s="24" t="s">
        <v>208</v>
      </c>
      <c r="F8" s="26"/>
      <c r="G8" s="26"/>
      <c r="H8" s="26"/>
    </row>
    <row r="9" customFormat="false" ht="19.5" hidden="false" customHeight="true" outlineLevel="0" collapsed="false">
      <c r="A9" s="3" t="n">
        <v>7</v>
      </c>
      <c r="B9" s="24" t="s">
        <v>199</v>
      </c>
      <c r="C9" s="24" t="s">
        <v>209</v>
      </c>
      <c r="D9" s="31" t="s">
        <v>197</v>
      </c>
      <c r="E9" s="24" t="s">
        <v>210</v>
      </c>
      <c r="F9" s="26"/>
      <c r="G9" s="26"/>
      <c r="H9" s="26"/>
    </row>
    <row r="10" customFormat="false" ht="19.5" hidden="false" customHeight="true" outlineLevel="0" collapsed="false">
      <c r="A10" s="3" t="n">
        <v>8</v>
      </c>
      <c r="B10" s="24" t="s">
        <v>199</v>
      </c>
      <c r="C10" s="24" t="s">
        <v>211</v>
      </c>
      <c r="D10" s="31" t="s">
        <v>207</v>
      </c>
      <c r="E10" s="24" t="s">
        <v>212</v>
      </c>
      <c r="F10" s="26"/>
      <c r="G10" s="26"/>
      <c r="H10" s="26"/>
    </row>
    <row r="11" customFormat="false" ht="19.5" hidden="false" customHeight="true" outlineLevel="0" collapsed="false">
      <c r="A11" s="3" t="n">
        <v>9</v>
      </c>
      <c r="B11" s="24" t="s">
        <v>199</v>
      </c>
      <c r="C11" s="24" t="s">
        <v>213</v>
      </c>
      <c r="D11" s="31" t="s">
        <v>207</v>
      </c>
      <c r="E11" s="24" t="s">
        <v>214</v>
      </c>
      <c r="F11" s="26"/>
      <c r="G11" s="26"/>
      <c r="H11" s="26"/>
    </row>
    <row r="12" customFormat="false" ht="19.5" hidden="false" customHeight="true" outlineLevel="0" collapsed="false">
      <c r="A12" s="3" t="n">
        <v>10</v>
      </c>
      <c r="B12" s="24" t="s">
        <v>199</v>
      </c>
      <c r="C12" s="24" t="s">
        <v>215</v>
      </c>
      <c r="D12" s="31" t="s">
        <v>197</v>
      </c>
      <c r="E12" s="24" t="s">
        <v>216</v>
      </c>
      <c r="F12" s="26"/>
      <c r="G12" s="26"/>
      <c r="H12" s="26"/>
    </row>
    <row r="13" customFormat="false" ht="31.5" hidden="false" customHeight="true" outlineLevel="0" collapsed="false">
      <c r="A13" s="32" t="n">
        <v>11</v>
      </c>
      <c r="B13" s="33" t="s">
        <v>217</v>
      </c>
      <c r="C13" s="34" t="s">
        <v>134</v>
      </c>
      <c r="D13" s="35" t="s">
        <v>218</v>
      </c>
      <c r="E13" s="33" t="s">
        <v>219</v>
      </c>
      <c r="F13" s="33" t="s">
        <v>136</v>
      </c>
      <c r="G13" s="36" t="s">
        <v>220</v>
      </c>
      <c r="H13" s="33" t="s">
        <v>221</v>
      </c>
    </row>
    <row r="14" customFormat="false" ht="19.5" hidden="false" customHeight="true" outlineLevel="0" collapsed="false">
      <c r="A14" s="3" t="n">
        <v>12</v>
      </c>
      <c r="B14" s="24" t="s">
        <v>222</v>
      </c>
      <c r="C14" s="24" t="s">
        <v>223</v>
      </c>
      <c r="D14" s="31" t="s">
        <v>197</v>
      </c>
      <c r="E14" s="24" t="s">
        <v>224</v>
      </c>
      <c r="F14" s="26"/>
      <c r="G14" s="26"/>
      <c r="H14" s="26"/>
    </row>
    <row r="15" customFormat="false" ht="19.5" hidden="false" customHeight="true" outlineLevel="0" collapsed="false">
      <c r="A15" s="3" t="n">
        <v>13</v>
      </c>
      <c r="B15" s="24" t="s">
        <v>225</v>
      </c>
      <c r="C15" s="24" t="s">
        <v>226</v>
      </c>
      <c r="D15" s="31" t="s">
        <v>227</v>
      </c>
      <c r="E15" s="24" t="s">
        <v>228</v>
      </c>
      <c r="F15" s="26"/>
      <c r="G15" s="26"/>
      <c r="H15" s="26"/>
    </row>
    <row r="16" customFormat="false" ht="19.5" hidden="false" customHeight="true" outlineLevel="0" collapsed="false">
      <c r="A16" s="3" t="n">
        <v>14</v>
      </c>
      <c r="B16" s="24" t="s">
        <v>225</v>
      </c>
      <c r="C16" s="24" t="s">
        <v>229</v>
      </c>
      <c r="D16" s="31" t="s">
        <v>197</v>
      </c>
      <c r="E16" s="24" t="s">
        <v>230</v>
      </c>
      <c r="F16" s="26"/>
      <c r="G16" s="26"/>
      <c r="H16" s="26"/>
    </row>
    <row r="17" customFormat="false" ht="31.5" hidden="false" customHeight="true" outlineLevel="0" collapsed="false">
      <c r="A17" s="32" t="n">
        <v>15</v>
      </c>
      <c r="B17" s="33" t="s">
        <v>225</v>
      </c>
      <c r="C17" s="34" t="s">
        <v>231</v>
      </c>
      <c r="D17" s="35" t="s">
        <v>218</v>
      </c>
      <c r="E17" s="33" t="s">
        <v>232</v>
      </c>
      <c r="F17" s="33" t="s">
        <v>233</v>
      </c>
      <c r="G17" s="36" t="s">
        <v>234</v>
      </c>
      <c r="H17" s="36" t="s">
        <v>235</v>
      </c>
    </row>
    <row r="18" customFormat="false" ht="19.5" hidden="false" customHeight="true" outlineLevel="0" collapsed="false">
      <c r="A18" s="3" t="n">
        <v>16</v>
      </c>
      <c r="B18" s="24" t="s">
        <v>225</v>
      </c>
      <c r="C18" s="24" t="s">
        <v>236</v>
      </c>
      <c r="D18" s="31" t="s">
        <v>207</v>
      </c>
      <c r="E18" s="24" t="s">
        <v>237</v>
      </c>
      <c r="F18" s="26"/>
      <c r="G18" s="26"/>
      <c r="H18" s="26"/>
    </row>
    <row r="19" customFormat="false" ht="31.5" hidden="false" customHeight="true" outlineLevel="0" collapsed="false">
      <c r="A19" s="32" t="n">
        <v>17</v>
      </c>
      <c r="B19" s="33" t="s">
        <v>225</v>
      </c>
      <c r="C19" s="34" t="s">
        <v>238</v>
      </c>
      <c r="D19" s="35" t="s">
        <v>218</v>
      </c>
      <c r="E19" s="33" t="s">
        <v>239</v>
      </c>
      <c r="F19" s="33" t="s">
        <v>233</v>
      </c>
      <c r="G19" s="33" t="s">
        <v>240</v>
      </c>
      <c r="H19" s="33" t="s">
        <v>241</v>
      </c>
    </row>
    <row r="20" customFormat="false" ht="19.5" hidden="false" customHeight="true" outlineLevel="0" collapsed="false">
      <c r="A20" s="3" t="n">
        <v>18</v>
      </c>
      <c r="B20" s="24" t="s">
        <v>242</v>
      </c>
      <c r="C20" s="24" t="s">
        <v>243</v>
      </c>
      <c r="D20" s="31" t="s">
        <v>207</v>
      </c>
      <c r="E20" s="24" t="s">
        <v>244</v>
      </c>
      <c r="F20" s="26"/>
      <c r="G20" s="26"/>
      <c r="H20" s="26"/>
    </row>
    <row r="21" customFormat="false" ht="19.5" hidden="false" customHeight="true" outlineLevel="0" collapsed="false">
      <c r="A21" s="3" t="n">
        <v>19</v>
      </c>
      <c r="B21" s="24" t="s">
        <v>242</v>
      </c>
      <c r="C21" s="24" t="s">
        <v>245</v>
      </c>
      <c r="D21" s="31" t="s">
        <v>207</v>
      </c>
      <c r="E21" s="26" t="s">
        <v>246</v>
      </c>
      <c r="F21" s="26"/>
      <c r="G21" s="26"/>
      <c r="H21" s="26"/>
    </row>
    <row r="22" customFormat="false" ht="19.5" hidden="false" customHeight="true" outlineLevel="0" collapsed="false">
      <c r="A22" s="3" t="n">
        <v>20</v>
      </c>
      <c r="B22" s="24" t="s">
        <v>242</v>
      </c>
      <c r="C22" s="24" t="s">
        <v>247</v>
      </c>
      <c r="D22" s="31" t="s">
        <v>207</v>
      </c>
      <c r="E22" s="24" t="s">
        <v>248</v>
      </c>
      <c r="F22" s="26"/>
      <c r="G22" s="26"/>
      <c r="H22" s="26"/>
    </row>
    <row r="23" customFormat="false" ht="31.5" hidden="false" customHeight="true" outlineLevel="0" collapsed="false">
      <c r="A23" s="32" t="n">
        <v>21</v>
      </c>
      <c r="B23" s="33" t="s">
        <v>242</v>
      </c>
      <c r="C23" s="37" t="s">
        <v>249</v>
      </c>
      <c r="D23" s="35" t="s">
        <v>218</v>
      </c>
      <c r="E23" s="33" t="s">
        <v>250</v>
      </c>
      <c r="F23" s="33" t="s">
        <v>251</v>
      </c>
      <c r="G23" s="36" t="s">
        <v>252</v>
      </c>
      <c r="H23" s="33" t="s">
        <v>253</v>
      </c>
    </row>
    <row r="24" customFormat="false" ht="31.5" hidden="false" customHeight="true" outlineLevel="0" collapsed="false">
      <c r="A24" s="32" t="n">
        <v>22</v>
      </c>
      <c r="B24" s="33" t="s">
        <v>242</v>
      </c>
      <c r="C24" s="37" t="s">
        <v>254</v>
      </c>
      <c r="D24" s="35" t="s">
        <v>218</v>
      </c>
      <c r="E24" s="33" t="s">
        <v>250</v>
      </c>
      <c r="F24" s="33" t="s">
        <v>255</v>
      </c>
      <c r="G24" s="36" t="s">
        <v>234</v>
      </c>
      <c r="H24" s="33" t="s">
        <v>256</v>
      </c>
    </row>
    <row r="25" customFormat="false" ht="31.5" hidden="false" customHeight="true" outlineLevel="0" collapsed="false">
      <c r="A25" s="32" t="n">
        <v>23</v>
      </c>
      <c r="B25" s="33" t="s">
        <v>257</v>
      </c>
      <c r="C25" s="34" t="s">
        <v>258</v>
      </c>
      <c r="D25" s="35" t="s">
        <v>218</v>
      </c>
      <c r="E25" s="33" t="s">
        <v>259</v>
      </c>
      <c r="F25" s="33" t="s">
        <v>260</v>
      </c>
      <c r="G25" s="36" t="s">
        <v>261</v>
      </c>
      <c r="H25" s="33" t="s">
        <v>262</v>
      </c>
    </row>
    <row r="26" customFormat="false" ht="19.5" hidden="false" customHeight="true" outlineLevel="0" collapsed="false">
      <c r="A26" s="3" t="n">
        <v>24</v>
      </c>
      <c r="B26" s="24" t="s">
        <v>257</v>
      </c>
      <c r="C26" s="24" t="s">
        <v>263</v>
      </c>
      <c r="D26" s="31" t="s">
        <v>264</v>
      </c>
      <c r="E26" s="24" t="s">
        <v>265</v>
      </c>
      <c r="F26" s="26"/>
      <c r="G26" s="26"/>
      <c r="H26" s="26"/>
    </row>
    <row r="27" customFormat="false" ht="19.5" hidden="false" customHeight="true" outlineLevel="0" collapsed="false">
      <c r="A27" s="3" t="n">
        <v>25</v>
      </c>
      <c r="B27" s="24" t="s">
        <v>257</v>
      </c>
      <c r="C27" s="24" t="s">
        <v>266</v>
      </c>
      <c r="D27" s="31" t="s">
        <v>267</v>
      </c>
      <c r="E27" s="24" t="s">
        <v>268</v>
      </c>
      <c r="F27" s="26"/>
      <c r="G27" s="26"/>
      <c r="H27" s="26"/>
    </row>
    <row r="28" customFormat="false" ht="31.5" hidden="false" customHeight="true" outlineLevel="0" collapsed="false">
      <c r="A28" s="32" t="n">
        <v>26</v>
      </c>
      <c r="B28" s="33" t="s">
        <v>257</v>
      </c>
      <c r="C28" s="34" t="s">
        <v>269</v>
      </c>
      <c r="D28" s="35" t="s">
        <v>218</v>
      </c>
      <c r="E28" s="33" t="s">
        <v>270</v>
      </c>
      <c r="F28" s="36" t="s">
        <v>271</v>
      </c>
      <c r="G28" s="36" t="s">
        <v>272</v>
      </c>
      <c r="H28" s="33" t="s">
        <v>262</v>
      </c>
    </row>
    <row r="29" customFormat="false" ht="31.5" hidden="false" customHeight="true" outlineLevel="0" collapsed="false">
      <c r="A29" s="32" t="n">
        <v>27</v>
      </c>
      <c r="B29" s="33" t="s">
        <v>257</v>
      </c>
      <c r="C29" s="34" t="s">
        <v>273</v>
      </c>
      <c r="D29" s="35" t="s">
        <v>218</v>
      </c>
      <c r="E29" s="33" t="s">
        <v>274</v>
      </c>
      <c r="F29" s="36" t="s">
        <v>275</v>
      </c>
      <c r="G29" s="36" t="s">
        <v>276</v>
      </c>
      <c r="H29" s="33" t="s">
        <v>262</v>
      </c>
    </row>
    <row r="30" customFormat="false" ht="19.5" hidden="false" customHeight="true" outlineLevel="0" collapsed="false">
      <c r="A30" s="3" t="n">
        <v>28</v>
      </c>
      <c r="B30" s="24" t="s">
        <v>257</v>
      </c>
      <c r="C30" s="24" t="s">
        <v>277</v>
      </c>
      <c r="D30" s="31" t="s">
        <v>197</v>
      </c>
      <c r="E30" s="24" t="s">
        <v>278</v>
      </c>
      <c r="F30" s="26"/>
      <c r="G30" s="26"/>
      <c r="H30" s="26"/>
    </row>
    <row r="31" customFormat="false" ht="19.5" hidden="false" customHeight="true" outlineLevel="0" collapsed="false">
      <c r="A31" s="3" t="n">
        <v>29</v>
      </c>
      <c r="B31" s="24" t="s">
        <v>257</v>
      </c>
      <c r="C31" s="24" t="s">
        <v>279</v>
      </c>
      <c r="D31" s="31" t="s">
        <v>197</v>
      </c>
      <c r="E31" s="24" t="s">
        <v>280</v>
      </c>
      <c r="F31" s="26"/>
      <c r="G31" s="26"/>
      <c r="H31" s="26"/>
    </row>
    <row r="32" customFormat="false" ht="19.5" hidden="false" customHeight="true" outlineLevel="0" collapsed="false">
      <c r="A32" s="3" t="n">
        <v>30</v>
      </c>
      <c r="B32" s="24" t="s">
        <v>257</v>
      </c>
      <c r="C32" s="24" t="s">
        <v>281</v>
      </c>
      <c r="D32" s="31" t="s">
        <v>197</v>
      </c>
      <c r="E32" s="26" t="s">
        <v>282</v>
      </c>
      <c r="F32" s="26"/>
      <c r="G32" s="26"/>
      <c r="H32" s="26"/>
    </row>
    <row r="33" customFormat="false" ht="19.5" hidden="false" customHeight="true" outlineLevel="0" collapsed="false">
      <c r="A33" s="3" t="n">
        <v>31</v>
      </c>
      <c r="B33" s="24" t="s">
        <v>257</v>
      </c>
      <c r="C33" s="24" t="s">
        <v>283</v>
      </c>
      <c r="D33" s="31" t="s">
        <v>197</v>
      </c>
      <c r="E33" s="26" t="s">
        <v>282</v>
      </c>
      <c r="F33" s="26"/>
      <c r="G33" s="26"/>
      <c r="H33" s="26"/>
    </row>
    <row r="34" customFormat="false" ht="19.5" hidden="false" customHeight="true" outlineLevel="0" collapsed="false">
      <c r="A34" s="3" t="n">
        <v>32</v>
      </c>
      <c r="B34" s="24" t="s">
        <v>257</v>
      </c>
      <c r="C34" s="24" t="s">
        <v>284</v>
      </c>
      <c r="D34" s="31" t="s">
        <v>197</v>
      </c>
      <c r="E34" s="26" t="s">
        <v>282</v>
      </c>
      <c r="F34" s="26"/>
      <c r="G34" s="26"/>
      <c r="H34" s="26"/>
    </row>
    <row r="35" customFormat="false" ht="19.5" hidden="false" customHeight="true" outlineLevel="0" collapsed="false">
      <c r="A35" s="3" t="n">
        <v>33</v>
      </c>
      <c r="B35" s="24" t="s">
        <v>285</v>
      </c>
      <c r="C35" s="24" t="s">
        <v>286</v>
      </c>
      <c r="D35" s="31" t="s">
        <v>197</v>
      </c>
      <c r="E35" s="24" t="s">
        <v>287</v>
      </c>
      <c r="F35" s="26"/>
      <c r="G35" s="26"/>
      <c r="H35" s="26"/>
    </row>
    <row r="36" customFormat="false" ht="19.5" hidden="false" customHeight="true" outlineLevel="0" collapsed="false">
      <c r="A36" s="3" t="n">
        <v>34</v>
      </c>
      <c r="B36" s="24" t="s">
        <v>285</v>
      </c>
      <c r="C36" s="24" t="s">
        <v>288</v>
      </c>
      <c r="D36" s="31" t="s">
        <v>197</v>
      </c>
      <c r="E36" s="24" t="s">
        <v>289</v>
      </c>
      <c r="F36" s="26"/>
      <c r="G36" s="26"/>
      <c r="H36" s="26"/>
    </row>
    <row r="37" customFormat="false" ht="19.5" hidden="false" customHeight="true" outlineLevel="0" collapsed="false">
      <c r="A37" s="3" t="n">
        <v>35</v>
      </c>
      <c r="B37" s="24" t="s">
        <v>285</v>
      </c>
      <c r="C37" s="24" t="s">
        <v>290</v>
      </c>
      <c r="D37" s="31" t="s">
        <v>197</v>
      </c>
      <c r="E37" s="24" t="s">
        <v>289</v>
      </c>
      <c r="F37" s="26"/>
      <c r="G37" s="26"/>
      <c r="H37" s="26"/>
    </row>
    <row r="38" customFormat="false" ht="19.5" hidden="false" customHeight="true" outlineLevel="0" collapsed="false">
      <c r="A38" s="3" t="n">
        <v>36</v>
      </c>
      <c r="B38" s="24" t="s">
        <v>285</v>
      </c>
      <c r="C38" s="24" t="s">
        <v>291</v>
      </c>
      <c r="D38" s="31" t="s">
        <v>197</v>
      </c>
      <c r="E38" s="24" t="s">
        <v>289</v>
      </c>
      <c r="F38" s="26"/>
      <c r="G38" s="26"/>
      <c r="H38" s="26"/>
    </row>
    <row r="39" customFormat="false" ht="19.5" hidden="false" customHeight="true" outlineLevel="0" collapsed="false">
      <c r="A39" s="3" t="n">
        <v>37</v>
      </c>
      <c r="B39" s="24" t="s">
        <v>285</v>
      </c>
      <c r="C39" s="24" t="s">
        <v>292</v>
      </c>
      <c r="D39" s="31" t="s">
        <v>293</v>
      </c>
      <c r="E39" s="24" t="s">
        <v>294</v>
      </c>
      <c r="F39" s="26"/>
      <c r="G39" s="26"/>
      <c r="H39" s="26"/>
    </row>
    <row r="40" customFormat="false" ht="19.5" hidden="false" customHeight="true" outlineLevel="0" collapsed="false">
      <c r="A40" s="3" t="n">
        <v>38</v>
      </c>
      <c r="B40" s="24" t="s">
        <v>295</v>
      </c>
      <c r="C40" s="24" t="s">
        <v>296</v>
      </c>
      <c r="D40" s="31" t="s">
        <v>297</v>
      </c>
      <c r="E40" s="24" t="s">
        <v>298</v>
      </c>
      <c r="F40" s="26"/>
      <c r="G40" s="26"/>
      <c r="H40" s="26"/>
    </row>
    <row r="41" customFormat="false" ht="19.5" hidden="false" customHeight="true" outlineLevel="0" collapsed="false">
      <c r="A41" s="3" t="n">
        <v>39</v>
      </c>
      <c r="B41" s="24" t="s">
        <v>295</v>
      </c>
      <c r="C41" s="24" t="s">
        <v>299</v>
      </c>
      <c r="D41" s="31" t="s">
        <v>197</v>
      </c>
      <c r="E41" s="24" t="s">
        <v>300</v>
      </c>
      <c r="F41" s="26"/>
      <c r="G41" s="26"/>
      <c r="H41" s="26"/>
    </row>
    <row r="42" customFormat="false" ht="19.5" hidden="false" customHeight="true" outlineLevel="0" collapsed="false">
      <c r="A42" s="3" t="n">
        <v>40</v>
      </c>
      <c r="B42" s="24" t="s">
        <v>295</v>
      </c>
      <c r="C42" s="24" t="s">
        <v>301</v>
      </c>
      <c r="D42" s="31" t="s">
        <v>197</v>
      </c>
      <c r="E42" s="24" t="s">
        <v>302</v>
      </c>
      <c r="F42" s="26"/>
      <c r="G42" s="26"/>
      <c r="H42" s="26"/>
    </row>
    <row r="43" customFormat="false" ht="19.5" hidden="false" customHeight="true" outlineLevel="0" collapsed="false">
      <c r="A43" s="3" t="n">
        <v>41</v>
      </c>
      <c r="B43" s="24" t="s">
        <v>295</v>
      </c>
      <c r="C43" s="24" t="s">
        <v>303</v>
      </c>
      <c r="D43" s="31" t="s">
        <v>197</v>
      </c>
      <c r="E43" s="24" t="s">
        <v>304</v>
      </c>
      <c r="F43" s="26"/>
      <c r="G43" s="26"/>
      <c r="H43" s="26"/>
    </row>
    <row r="44" customFormat="false" ht="19.5" hidden="false" customHeight="true" outlineLevel="0" collapsed="false">
      <c r="A44" s="3" t="n">
        <v>42</v>
      </c>
      <c r="B44" s="24" t="s">
        <v>295</v>
      </c>
      <c r="C44" s="24" t="s">
        <v>305</v>
      </c>
      <c r="D44" s="31" t="s">
        <v>197</v>
      </c>
      <c r="E44" s="24" t="s">
        <v>304</v>
      </c>
      <c r="F44" s="26"/>
      <c r="G44" s="26"/>
      <c r="H44" s="26"/>
    </row>
    <row r="45" customFormat="false" ht="19.5" hidden="false" customHeight="true" outlineLevel="0" collapsed="false">
      <c r="A45" s="3" t="n">
        <v>43</v>
      </c>
      <c r="B45" s="24" t="s">
        <v>295</v>
      </c>
      <c r="C45" s="24" t="s">
        <v>306</v>
      </c>
      <c r="D45" s="31" t="s">
        <v>197</v>
      </c>
      <c r="E45" s="24" t="s">
        <v>300</v>
      </c>
      <c r="F45" s="26"/>
      <c r="G45" s="26"/>
      <c r="H45" s="26"/>
    </row>
    <row r="46" customFormat="false" ht="19.5" hidden="false" customHeight="true" outlineLevel="0" collapsed="false">
      <c r="A46" s="3" t="n">
        <v>44</v>
      </c>
      <c r="B46" s="24" t="s">
        <v>295</v>
      </c>
      <c r="C46" s="26" t="s">
        <v>307</v>
      </c>
      <c r="D46" s="31" t="s">
        <v>197</v>
      </c>
      <c r="E46" s="26" t="s">
        <v>308</v>
      </c>
      <c r="F46" s="26"/>
      <c r="G46" s="26"/>
      <c r="H46" s="26"/>
    </row>
    <row r="47" customFormat="false" ht="19.5" hidden="false" customHeight="true" outlineLevel="0" collapsed="false">
      <c r="A47" s="3" t="n">
        <v>45</v>
      </c>
      <c r="B47" s="24" t="s">
        <v>295</v>
      </c>
      <c r="C47" s="24" t="s">
        <v>309</v>
      </c>
      <c r="D47" s="31" t="s">
        <v>197</v>
      </c>
      <c r="E47" s="24" t="s">
        <v>302</v>
      </c>
      <c r="F47" s="26"/>
      <c r="G47" s="26"/>
      <c r="H47" s="26"/>
    </row>
    <row r="48" customFormat="false" ht="19.5" hidden="false" customHeight="true" outlineLevel="0" collapsed="false">
      <c r="A48" s="3" t="n">
        <v>46</v>
      </c>
      <c r="B48" s="24" t="s">
        <v>295</v>
      </c>
      <c r="C48" s="24" t="s">
        <v>310</v>
      </c>
      <c r="D48" s="31" t="s">
        <v>197</v>
      </c>
      <c r="E48" s="24" t="s">
        <v>302</v>
      </c>
      <c r="F48" s="26"/>
      <c r="G48" s="26"/>
      <c r="H48" s="26"/>
    </row>
    <row r="49" customFormat="false" ht="31.5" hidden="false" customHeight="true" outlineLevel="0" collapsed="false">
      <c r="A49" s="32" t="n">
        <v>47</v>
      </c>
      <c r="B49" s="33" t="s">
        <v>295</v>
      </c>
      <c r="C49" s="34" t="s">
        <v>311</v>
      </c>
      <c r="D49" s="35" t="s">
        <v>218</v>
      </c>
      <c r="E49" s="33" t="s">
        <v>312</v>
      </c>
      <c r="F49" s="33" t="s">
        <v>313</v>
      </c>
      <c r="G49" s="33" t="s">
        <v>314</v>
      </c>
      <c r="H49" s="36" t="s">
        <v>315</v>
      </c>
    </row>
    <row r="50" customFormat="false" ht="31.5" hidden="false" customHeight="true" outlineLevel="0" collapsed="false">
      <c r="A50" s="32" t="n">
        <v>48</v>
      </c>
      <c r="B50" s="33" t="s">
        <v>295</v>
      </c>
      <c r="C50" s="34" t="s">
        <v>316</v>
      </c>
      <c r="D50" s="35" t="s">
        <v>218</v>
      </c>
      <c r="E50" s="33" t="s">
        <v>317</v>
      </c>
      <c r="F50" s="33" t="s">
        <v>318</v>
      </c>
      <c r="G50" s="33" t="s">
        <v>314</v>
      </c>
      <c r="H50" s="36" t="s">
        <v>319</v>
      </c>
    </row>
    <row r="51" customFormat="false" ht="31.5" hidden="false" customHeight="true" outlineLevel="0" collapsed="false">
      <c r="A51" s="32" t="n">
        <v>49</v>
      </c>
      <c r="B51" s="33" t="s">
        <v>295</v>
      </c>
      <c r="C51" s="34" t="s">
        <v>320</v>
      </c>
      <c r="D51" s="35" t="s">
        <v>218</v>
      </c>
      <c r="E51" s="33" t="s">
        <v>321</v>
      </c>
      <c r="F51" s="33" t="s">
        <v>233</v>
      </c>
      <c r="G51" s="36" t="s">
        <v>234</v>
      </c>
      <c r="H51" s="33" t="s">
        <v>322</v>
      </c>
    </row>
    <row r="52" customFormat="false" ht="19.5" hidden="false" customHeight="true" outlineLevel="0" collapsed="false">
      <c r="A52" s="3" t="n">
        <v>50</v>
      </c>
      <c r="B52" s="24" t="s">
        <v>323</v>
      </c>
      <c r="C52" s="24" t="s">
        <v>324</v>
      </c>
      <c r="D52" s="31" t="s">
        <v>227</v>
      </c>
      <c r="E52" s="24" t="s">
        <v>325</v>
      </c>
      <c r="F52" s="26"/>
      <c r="G52" s="26"/>
      <c r="H52" s="26"/>
    </row>
    <row r="53" customFormat="false" ht="19.5" hidden="false" customHeight="true" outlineLevel="0" collapsed="false">
      <c r="A53" s="3" t="n">
        <v>51</v>
      </c>
      <c r="B53" s="24" t="s">
        <v>323</v>
      </c>
      <c r="C53" s="24" t="s">
        <v>326</v>
      </c>
      <c r="D53" s="31" t="s">
        <v>207</v>
      </c>
      <c r="E53" s="24" t="s">
        <v>327</v>
      </c>
      <c r="F53" s="26"/>
      <c r="G53" s="26"/>
      <c r="H53" s="26"/>
    </row>
    <row r="54" customFormat="false" ht="19.5" hidden="false" customHeight="true" outlineLevel="0" collapsed="false">
      <c r="A54" s="3" t="n">
        <v>52</v>
      </c>
      <c r="B54" s="24" t="s">
        <v>323</v>
      </c>
      <c r="C54" s="24" t="s">
        <v>328</v>
      </c>
      <c r="D54" s="31" t="s">
        <v>329</v>
      </c>
      <c r="E54" s="24" t="s">
        <v>330</v>
      </c>
      <c r="F54" s="24" t="s">
        <v>233</v>
      </c>
      <c r="G54" s="26" t="s">
        <v>331</v>
      </c>
      <c r="H54" s="26" t="s">
        <v>332</v>
      </c>
    </row>
    <row r="55" customFormat="false" ht="19.5" hidden="false" customHeight="true" outlineLevel="0" collapsed="false">
      <c r="A55" s="3" t="n">
        <v>53</v>
      </c>
      <c r="B55" s="24" t="s">
        <v>323</v>
      </c>
      <c r="C55" s="24" t="s">
        <v>333</v>
      </c>
      <c r="D55" s="31" t="s">
        <v>334</v>
      </c>
      <c r="E55" s="24" t="s">
        <v>335</v>
      </c>
      <c r="F55" s="26"/>
      <c r="G55" s="26"/>
      <c r="H55" s="26"/>
    </row>
    <row r="56" customFormat="false" ht="31.5" hidden="false" customHeight="true" outlineLevel="0" collapsed="false">
      <c r="A56" s="32" t="n">
        <v>54</v>
      </c>
      <c r="B56" s="33" t="s">
        <v>323</v>
      </c>
      <c r="C56" s="34" t="s">
        <v>336</v>
      </c>
      <c r="D56" s="35" t="s">
        <v>218</v>
      </c>
      <c r="E56" s="33" t="s">
        <v>337</v>
      </c>
      <c r="F56" s="33" t="s">
        <v>338</v>
      </c>
      <c r="G56" s="36" t="s">
        <v>339</v>
      </c>
      <c r="H56" s="33" t="s">
        <v>340</v>
      </c>
    </row>
    <row r="57" customFormat="false" ht="31.5" hidden="false" customHeight="true" outlineLevel="0" collapsed="false">
      <c r="A57" s="32" t="n">
        <v>55</v>
      </c>
      <c r="B57" s="33" t="s">
        <v>323</v>
      </c>
      <c r="C57" s="34" t="s">
        <v>341</v>
      </c>
      <c r="D57" s="35" t="s">
        <v>218</v>
      </c>
      <c r="E57" s="33" t="s">
        <v>342</v>
      </c>
      <c r="F57" s="33" t="s">
        <v>343</v>
      </c>
      <c r="G57" s="36" t="s">
        <v>344</v>
      </c>
      <c r="H57" s="33" t="s">
        <v>345</v>
      </c>
    </row>
    <row r="58" customFormat="false" ht="31.5" hidden="false" customHeight="true" outlineLevel="0" collapsed="false">
      <c r="A58" s="32" t="n">
        <v>56</v>
      </c>
      <c r="B58" s="33" t="s">
        <v>323</v>
      </c>
      <c r="C58" s="34" t="s">
        <v>346</v>
      </c>
      <c r="D58" s="35" t="s">
        <v>218</v>
      </c>
      <c r="E58" s="33" t="s">
        <v>347</v>
      </c>
      <c r="F58" s="33" t="s">
        <v>343</v>
      </c>
      <c r="G58" s="36" t="s">
        <v>348</v>
      </c>
      <c r="H58" s="33" t="s">
        <v>349</v>
      </c>
    </row>
    <row r="59" customFormat="false" ht="19.5" hidden="false" customHeight="true" outlineLevel="0" collapsed="false">
      <c r="A59" s="3" t="n">
        <v>57</v>
      </c>
      <c r="B59" s="24" t="s">
        <v>323</v>
      </c>
      <c r="C59" s="24" t="s">
        <v>350</v>
      </c>
      <c r="D59" s="31" t="s">
        <v>351</v>
      </c>
      <c r="E59" s="24" t="s">
        <v>352</v>
      </c>
      <c r="F59" s="26"/>
      <c r="G59" s="26"/>
      <c r="H59" s="26"/>
    </row>
    <row r="60" customFormat="false" ht="19.5" hidden="false" customHeight="true" outlineLevel="0" collapsed="false">
      <c r="A60" s="3" t="n">
        <v>58</v>
      </c>
      <c r="B60" s="24" t="s">
        <v>323</v>
      </c>
      <c r="C60" s="24" t="s">
        <v>353</v>
      </c>
      <c r="D60" s="31" t="s">
        <v>351</v>
      </c>
      <c r="E60" s="24" t="s">
        <v>354</v>
      </c>
      <c r="F60" s="26"/>
      <c r="G60" s="26"/>
      <c r="H60" s="26"/>
    </row>
    <row r="61" customFormat="false" ht="31.5" hidden="false" customHeight="true" outlineLevel="0" collapsed="false">
      <c r="A61" s="32" t="n">
        <v>59</v>
      </c>
      <c r="B61" s="33" t="s">
        <v>323</v>
      </c>
      <c r="C61" s="34" t="s">
        <v>355</v>
      </c>
      <c r="D61" s="35" t="s">
        <v>218</v>
      </c>
      <c r="E61" s="33" t="s">
        <v>347</v>
      </c>
      <c r="F61" s="33" t="s">
        <v>343</v>
      </c>
      <c r="G61" s="36" t="s">
        <v>356</v>
      </c>
      <c r="H61" s="33" t="s">
        <v>349</v>
      </c>
    </row>
    <row r="62" customFormat="false" ht="31.5" hidden="false" customHeight="true" outlineLevel="0" collapsed="false">
      <c r="A62" s="32" t="n">
        <v>60</v>
      </c>
      <c r="B62" s="33" t="s">
        <v>323</v>
      </c>
      <c r="C62" s="34" t="s">
        <v>357</v>
      </c>
      <c r="D62" s="35" t="s">
        <v>218</v>
      </c>
      <c r="E62" s="33" t="s">
        <v>347</v>
      </c>
      <c r="F62" s="33" t="s">
        <v>343</v>
      </c>
      <c r="G62" s="36" t="s">
        <v>358</v>
      </c>
      <c r="H62" s="33" t="s">
        <v>349</v>
      </c>
    </row>
    <row r="63" customFormat="false" ht="31.5" hidden="false" customHeight="true" outlineLevel="0" collapsed="false">
      <c r="A63" s="32" t="n">
        <v>61</v>
      </c>
      <c r="B63" s="33" t="s">
        <v>323</v>
      </c>
      <c r="C63" s="34" t="s">
        <v>359</v>
      </c>
      <c r="D63" s="35" t="s">
        <v>218</v>
      </c>
      <c r="E63" s="33" t="s">
        <v>347</v>
      </c>
      <c r="F63" s="33" t="s">
        <v>233</v>
      </c>
      <c r="G63" s="36" t="s">
        <v>234</v>
      </c>
      <c r="H63" s="36" t="s">
        <v>360</v>
      </c>
    </row>
    <row r="64" customFormat="false" ht="19.5" hidden="false" customHeight="true" outlineLevel="0" collapsed="false">
      <c r="A64" s="3" t="n">
        <v>62</v>
      </c>
      <c r="B64" s="24" t="s">
        <v>323</v>
      </c>
      <c r="C64" s="24" t="s">
        <v>361</v>
      </c>
      <c r="D64" s="31" t="s">
        <v>197</v>
      </c>
      <c r="E64" s="24" t="s">
        <v>362</v>
      </c>
      <c r="F64" s="26"/>
      <c r="G64" s="26"/>
      <c r="H64" s="26"/>
    </row>
    <row r="65" customFormat="false" ht="19.5" hidden="false" customHeight="true" outlineLevel="0" collapsed="false">
      <c r="A65" s="3" t="n">
        <v>63</v>
      </c>
      <c r="B65" s="24" t="s">
        <v>323</v>
      </c>
      <c r="C65" s="24" t="s">
        <v>363</v>
      </c>
      <c r="D65" s="31" t="s">
        <v>197</v>
      </c>
      <c r="E65" s="24" t="s">
        <v>362</v>
      </c>
      <c r="F65" s="24" t="s">
        <v>343</v>
      </c>
      <c r="G65" s="26" t="s">
        <v>364</v>
      </c>
      <c r="H65" s="24" t="s">
        <v>365</v>
      </c>
    </row>
    <row r="66" customFormat="false" ht="31.5" hidden="false" customHeight="true" outlineLevel="0" collapsed="false">
      <c r="A66" s="32" t="n">
        <v>64</v>
      </c>
      <c r="B66" s="33" t="s">
        <v>366</v>
      </c>
      <c r="C66" s="34" t="s">
        <v>367</v>
      </c>
      <c r="D66" s="35" t="s">
        <v>218</v>
      </c>
      <c r="E66" s="33" t="s">
        <v>368</v>
      </c>
      <c r="F66" s="33" t="s">
        <v>369</v>
      </c>
      <c r="G66" s="36" t="s">
        <v>370</v>
      </c>
      <c r="H66" s="33" t="s">
        <v>371</v>
      </c>
    </row>
    <row r="67" customFormat="false" ht="19.5" hidden="false" customHeight="true" outlineLevel="0" collapsed="false">
      <c r="A67" s="3" t="n">
        <v>65</v>
      </c>
      <c r="B67" s="24" t="s">
        <v>366</v>
      </c>
      <c r="C67" s="24" t="s">
        <v>372</v>
      </c>
      <c r="D67" s="31" t="s">
        <v>197</v>
      </c>
      <c r="E67" s="24" t="s">
        <v>373</v>
      </c>
      <c r="F67" s="26"/>
      <c r="G67" s="26"/>
      <c r="H67" s="26"/>
    </row>
    <row r="68" customFormat="false" ht="19.5" hidden="false" customHeight="true" outlineLevel="0" collapsed="false">
      <c r="A68" s="3" t="n">
        <v>66</v>
      </c>
      <c r="B68" s="24" t="s">
        <v>366</v>
      </c>
      <c r="C68" s="24" t="s">
        <v>374</v>
      </c>
      <c r="D68" s="31" t="s">
        <v>197</v>
      </c>
      <c r="E68" s="24" t="s">
        <v>375</v>
      </c>
      <c r="F68" s="26"/>
      <c r="G68" s="26"/>
      <c r="H68" s="26"/>
    </row>
    <row r="69" customFormat="false" ht="19.5" hidden="false" customHeight="true" outlineLevel="0" collapsed="false">
      <c r="A69" s="3" t="n">
        <v>67</v>
      </c>
      <c r="B69" s="24" t="s">
        <v>366</v>
      </c>
      <c r="C69" s="24" t="s">
        <v>376</v>
      </c>
      <c r="D69" s="31" t="s">
        <v>197</v>
      </c>
      <c r="E69" s="24" t="s">
        <v>375</v>
      </c>
      <c r="F69" s="26"/>
      <c r="G69" s="26"/>
      <c r="H69" s="26"/>
    </row>
    <row r="70" customFormat="false" ht="19.5" hidden="false" customHeight="true" outlineLevel="0" collapsed="false">
      <c r="A70" s="3" t="n">
        <v>68</v>
      </c>
      <c r="B70" s="24" t="s">
        <v>366</v>
      </c>
      <c r="C70" s="24" t="s">
        <v>377</v>
      </c>
      <c r="D70" s="31" t="s">
        <v>329</v>
      </c>
      <c r="E70" s="24" t="s">
        <v>378</v>
      </c>
      <c r="F70" s="24" t="s">
        <v>379</v>
      </c>
      <c r="G70" s="24" t="s">
        <v>240</v>
      </c>
      <c r="H70" s="24" t="s">
        <v>380</v>
      </c>
    </row>
    <row r="71" customFormat="false" ht="31.5" hidden="false" customHeight="true" outlineLevel="0" collapsed="false">
      <c r="A71" s="32" t="n">
        <v>69</v>
      </c>
      <c r="B71" s="33" t="s">
        <v>366</v>
      </c>
      <c r="C71" s="34" t="s">
        <v>381</v>
      </c>
      <c r="D71" s="35" t="s">
        <v>218</v>
      </c>
      <c r="E71" s="33" t="s">
        <v>382</v>
      </c>
      <c r="F71" s="33" t="s">
        <v>383</v>
      </c>
      <c r="G71" s="33" t="s">
        <v>384</v>
      </c>
      <c r="H71" s="33" t="s">
        <v>385</v>
      </c>
    </row>
    <row r="72" customFormat="false" ht="19.5" hidden="false" customHeight="true" outlineLevel="0" collapsed="false">
      <c r="A72" s="3" t="n">
        <v>70</v>
      </c>
      <c r="B72" s="24" t="s">
        <v>386</v>
      </c>
      <c r="C72" s="24" t="s">
        <v>387</v>
      </c>
      <c r="D72" s="31" t="s">
        <v>197</v>
      </c>
      <c r="E72" s="24" t="s">
        <v>388</v>
      </c>
      <c r="F72" s="26"/>
      <c r="G72" s="26"/>
      <c r="H72" s="26"/>
    </row>
    <row r="73" customFormat="false" ht="19.5" hidden="false" customHeight="true" outlineLevel="0" collapsed="false">
      <c r="A73" s="31" t="s">
        <v>389</v>
      </c>
      <c r="B73" s="26"/>
      <c r="C73" s="26"/>
      <c r="D73" s="3"/>
      <c r="E73" s="26"/>
      <c r="F73" s="26"/>
      <c r="G73" s="26"/>
      <c r="H73" s="26"/>
    </row>
    <row r="74" customFormat="false" ht="19.5" hidden="false" customHeight="true" outlineLevel="0" collapsed="false">
      <c r="A74" s="31" t="s">
        <v>390</v>
      </c>
      <c r="B74" s="26"/>
      <c r="C74" s="26"/>
      <c r="D74" s="3"/>
      <c r="E74" s="26"/>
      <c r="F74" s="26"/>
      <c r="G74" s="26"/>
      <c r="H74" s="26"/>
    </row>
    <row r="76" customFormat="false" ht="14.15" hidden="false" customHeight="false" outlineLevel="0" collapsed="false">
      <c r="A76" s="38" t="s">
        <v>391</v>
      </c>
      <c r="B76" s="38"/>
      <c r="C76" s="38"/>
      <c r="D76" s="38"/>
      <c r="E76" s="38"/>
      <c r="F76" s="38"/>
      <c r="G76" s="38"/>
      <c r="H76" s="38"/>
    </row>
    <row r="77" customFormat="false" ht="15" hidden="false" customHeight="false" outlineLevel="0" collapsed="false">
      <c r="A77" s="38" t="s">
        <v>392</v>
      </c>
      <c r="B77" s="38"/>
      <c r="C77" s="38"/>
      <c r="D77" s="38"/>
      <c r="E77" s="38"/>
      <c r="F77" s="38"/>
      <c r="G77" s="38"/>
      <c r="H77" s="38"/>
    </row>
    <row r="78" customFormat="false" ht="14.15" hidden="false" customHeight="false" outlineLevel="0" collapsed="false">
      <c r="A78" s="38" t="s">
        <v>393</v>
      </c>
      <c r="B78" s="38"/>
      <c r="C78" s="38"/>
      <c r="D78" s="38"/>
      <c r="E78" s="38"/>
      <c r="F78" s="38"/>
      <c r="G78" s="38"/>
      <c r="H78" s="38"/>
    </row>
    <row r="79" customFormat="false" ht="14.15" hidden="false" customHeight="false" outlineLevel="0" collapsed="false">
      <c r="A79" s="39" t="s">
        <v>394</v>
      </c>
      <c r="B79" s="39"/>
      <c r="C79" s="39"/>
      <c r="D79" s="39"/>
      <c r="E79" s="39"/>
      <c r="F79" s="39"/>
      <c r="G79" s="39"/>
      <c r="H79" s="39"/>
    </row>
    <row r="80" customFormat="false" ht="15" hidden="false" customHeight="false" outlineLevel="0" collapsed="false">
      <c r="A80" s="38" t="s">
        <v>395</v>
      </c>
      <c r="B80" s="38"/>
      <c r="C80" s="38"/>
      <c r="D80" s="38"/>
      <c r="E80" s="38"/>
      <c r="F80" s="38"/>
      <c r="G80" s="38"/>
      <c r="H80" s="38"/>
    </row>
  </sheetData>
  <mergeCells count="6">
    <mergeCell ref="A2:H2"/>
    <mergeCell ref="A76:H76"/>
    <mergeCell ref="A77:H77"/>
    <mergeCell ref="A78:H78"/>
    <mergeCell ref="A79:H79"/>
    <mergeCell ref="A80:H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4" min="3" style="0" width="22"/>
    <col collapsed="false" customWidth="true" hidden="false" outlineLevel="0" max="5" min="5" style="0" width="40"/>
  </cols>
  <sheetData>
    <row r="1" customFormat="false" ht="25.5" hidden="false" customHeight="true" outlineLevel="0" collapsed="false">
      <c r="A1" s="23" t="s">
        <v>396</v>
      </c>
      <c r="B1" s="23"/>
      <c r="C1" s="23"/>
      <c r="D1" s="23"/>
      <c r="E1" s="23"/>
    </row>
    <row r="2" customFormat="false" ht="30" hidden="false" customHeight="true" outlineLevel="0" collapsed="false">
      <c r="A2" s="24" t="s">
        <v>397</v>
      </c>
      <c r="B2" s="26"/>
      <c r="C2" s="26"/>
      <c r="D2" s="26"/>
      <c r="E2" s="26"/>
    </row>
    <row r="3" customFormat="false" ht="30" hidden="false" customHeight="true" outlineLevel="0" collapsed="false">
      <c r="A3" s="24" t="s">
        <v>398</v>
      </c>
      <c r="B3" s="26" t="s">
        <v>399</v>
      </c>
      <c r="C3" s="24" t="s">
        <v>400</v>
      </c>
      <c r="D3" s="24" t="s">
        <v>401</v>
      </c>
      <c r="E3" s="24" t="s">
        <v>402</v>
      </c>
    </row>
    <row r="4" customFormat="false" ht="30" hidden="false" customHeight="true" outlineLevel="0" collapsed="false">
      <c r="A4" s="24" t="s">
        <v>403</v>
      </c>
      <c r="B4" s="26" t="s">
        <v>404</v>
      </c>
      <c r="C4" s="24" t="s">
        <v>405</v>
      </c>
      <c r="D4" s="24" t="s">
        <v>406</v>
      </c>
      <c r="E4" s="24" t="s">
        <v>407</v>
      </c>
    </row>
    <row r="5" customFormat="false" ht="30" hidden="false" customHeight="true" outlineLevel="0" collapsed="false">
      <c r="A5" s="24" t="s">
        <v>408</v>
      </c>
      <c r="B5" s="26" t="s">
        <v>409</v>
      </c>
      <c r="C5" s="24" t="s">
        <v>410</v>
      </c>
      <c r="D5" s="24" t="s">
        <v>411</v>
      </c>
      <c r="E5" s="24" t="s">
        <v>412</v>
      </c>
    </row>
    <row r="6" customFormat="false" ht="30" hidden="false" customHeight="true" outlineLevel="0" collapsed="false">
      <c r="A6" s="24" t="s">
        <v>413</v>
      </c>
      <c r="B6" s="26" t="s">
        <v>414</v>
      </c>
      <c r="C6" s="24" t="s">
        <v>415</v>
      </c>
      <c r="D6" s="24" t="s">
        <v>416</v>
      </c>
      <c r="E6" s="24" t="s">
        <v>417</v>
      </c>
    </row>
    <row r="7" customFormat="false" ht="30" hidden="false" customHeight="true" outlineLevel="0" collapsed="false">
      <c r="A7" s="24" t="s">
        <v>418</v>
      </c>
      <c r="B7" s="26" t="s">
        <v>419</v>
      </c>
      <c r="C7" s="24" t="s">
        <v>420</v>
      </c>
      <c r="D7" s="24" t="s">
        <v>421</v>
      </c>
      <c r="E7" s="24" t="s">
        <v>422</v>
      </c>
    </row>
    <row r="8" customFormat="false" ht="30" hidden="false" customHeight="true" outlineLevel="0" collapsed="false">
      <c r="A8" s="24" t="s">
        <v>423</v>
      </c>
      <c r="B8" s="24" t="s">
        <v>424</v>
      </c>
      <c r="C8" s="24" t="s">
        <v>425</v>
      </c>
      <c r="D8" s="24" t="s">
        <v>411</v>
      </c>
      <c r="E8" s="24" t="s">
        <v>426</v>
      </c>
    </row>
    <row r="9" customFormat="false" ht="30" hidden="false" customHeight="true" outlineLevel="0" collapsed="false">
      <c r="A9" s="24" t="s">
        <v>427</v>
      </c>
      <c r="B9" s="26" t="s">
        <v>428</v>
      </c>
      <c r="C9" s="24" t="s">
        <v>429</v>
      </c>
      <c r="D9" s="24" t="s">
        <v>430</v>
      </c>
      <c r="E9" s="24" t="s">
        <v>431</v>
      </c>
    </row>
    <row r="10" customFormat="false" ht="30" hidden="false" customHeight="true" outlineLevel="0" collapsed="false">
      <c r="A10" s="24" t="s">
        <v>432</v>
      </c>
      <c r="B10" s="24" t="s">
        <v>433</v>
      </c>
      <c r="C10" s="24" t="s">
        <v>434</v>
      </c>
      <c r="D10" s="24" t="s">
        <v>435</v>
      </c>
      <c r="E10" s="24" t="s">
        <v>436</v>
      </c>
    </row>
    <row r="11" customFormat="false" ht="30" hidden="false" customHeight="true" outlineLevel="0" collapsed="false">
      <c r="A11" s="24" t="s">
        <v>154</v>
      </c>
      <c r="B11" s="24" t="s">
        <v>437</v>
      </c>
      <c r="C11" s="24" t="s">
        <v>438</v>
      </c>
      <c r="D11" s="24" t="s">
        <v>439</v>
      </c>
      <c r="E11" s="24" t="s">
        <v>440</v>
      </c>
    </row>
    <row r="12" customFormat="false" ht="30" hidden="false" customHeight="true" outlineLevel="0" collapsed="false">
      <c r="A12" s="24" t="s">
        <v>441</v>
      </c>
      <c r="B12" s="26" t="s">
        <v>442</v>
      </c>
      <c r="C12" s="24" t="s">
        <v>443</v>
      </c>
      <c r="D12" s="24" t="s">
        <v>444</v>
      </c>
      <c r="E12" s="24" t="s">
        <v>445</v>
      </c>
    </row>
    <row r="13" customFormat="false" ht="30" hidden="false" customHeight="true" outlineLevel="0" collapsed="false">
      <c r="A13" s="24" t="s">
        <v>446</v>
      </c>
      <c r="B13" s="26"/>
      <c r="C13" s="26"/>
      <c r="D13" s="26"/>
      <c r="E13" s="26"/>
    </row>
    <row r="14" customFormat="false" ht="30" hidden="false" customHeight="true" outlineLevel="0" collapsed="false">
      <c r="A14" s="24" t="s">
        <v>447</v>
      </c>
      <c r="B14" s="26"/>
      <c r="C14" s="26"/>
      <c r="D14" s="26"/>
      <c r="E14" s="26"/>
    </row>
    <row r="15" customFormat="false" ht="30" hidden="false" customHeight="true" outlineLevel="0" collapsed="false">
      <c r="A15" s="24" t="s">
        <v>448</v>
      </c>
      <c r="B15" s="26"/>
      <c r="C15" s="26"/>
      <c r="D15" s="26"/>
      <c r="E15" s="26"/>
    </row>
    <row r="16" customFormat="false" ht="30" hidden="false" customHeight="true" outlineLevel="0" collapsed="false">
      <c r="A16" s="24" t="s">
        <v>449</v>
      </c>
      <c r="B16" s="26"/>
      <c r="C16" s="26"/>
      <c r="D16" s="26"/>
      <c r="E16" s="26"/>
    </row>
    <row r="19" customFormat="false" ht="25.5" hidden="false" customHeight="true" outlineLevel="0" collapsed="false">
      <c r="A19" s="23" t="s">
        <v>450</v>
      </c>
      <c r="B19" s="23"/>
      <c r="C19" s="23"/>
    </row>
    <row r="20" customFormat="false" ht="15" hidden="false" customHeight="false" outlineLevel="0" collapsed="false">
      <c r="A20" s="24" t="s">
        <v>62</v>
      </c>
      <c r="B20" s="24" t="s">
        <v>451</v>
      </c>
      <c r="C20" s="24" t="s">
        <v>67</v>
      </c>
    </row>
    <row r="21" customFormat="false" ht="44" hidden="false" customHeight="false" outlineLevel="0" collapsed="false">
      <c r="A21" s="24" t="s">
        <v>452</v>
      </c>
      <c r="B21" s="26" t="s">
        <v>453</v>
      </c>
      <c r="C21" s="24" t="s">
        <v>454</v>
      </c>
    </row>
    <row r="22" customFormat="false" ht="15" hidden="false" customHeight="false" outlineLevel="0" collapsed="false">
      <c r="A22" s="24" t="s">
        <v>455</v>
      </c>
      <c r="B22" s="26" t="s">
        <v>456</v>
      </c>
      <c r="C22" s="24" t="s">
        <v>349</v>
      </c>
    </row>
    <row r="23" customFormat="false" ht="58.2" hidden="false" customHeight="false" outlineLevel="0" collapsed="false">
      <c r="A23" s="24" t="s">
        <v>457</v>
      </c>
      <c r="B23" s="26" t="s">
        <v>458</v>
      </c>
      <c r="C23" s="26" t="s">
        <v>459</v>
      </c>
    </row>
    <row r="24" customFormat="false" ht="44" hidden="false" customHeight="false" outlineLevel="0" collapsed="false">
      <c r="A24" s="24" t="s">
        <v>460</v>
      </c>
      <c r="B24" s="26" t="s">
        <v>461</v>
      </c>
      <c r="C24" s="24" t="s">
        <v>462</v>
      </c>
    </row>
    <row r="25" customFormat="false" ht="15" hidden="false" customHeight="false" outlineLevel="0" collapsed="false">
      <c r="A25" s="24" t="s">
        <v>463</v>
      </c>
      <c r="B25" s="26" t="s">
        <v>464</v>
      </c>
      <c r="C25" s="24" t="s">
        <v>349</v>
      </c>
    </row>
    <row r="26" customFormat="false" ht="29.85" hidden="false" customHeight="false" outlineLevel="0" collapsed="false">
      <c r="A26" s="24" t="s">
        <v>465</v>
      </c>
      <c r="B26" s="26" t="s">
        <v>466</v>
      </c>
      <c r="C26" s="26" t="s">
        <v>467</v>
      </c>
    </row>
    <row r="27" customFormat="false" ht="44" hidden="false" customHeight="false" outlineLevel="0" collapsed="false">
      <c r="A27" s="24" t="s">
        <v>468</v>
      </c>
      <c r="B27" s="24" t="s">
        <v>469</v>
      </c>
      <c r="C27" s="24" t="s">
        <v>470</v>
      </c>
    </row>
  </sheetData>
  <mergeCells count="2">
    <mergeCell ref="A1:E1"/>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2026-06-20T17:05:15Z</dcterms:created>
  <dc:creator>openpyxl</dc:creator>
  <dc:description/>
  <dc:language>en-US</dc:language>
  <cp:lastModifiedBy/>
  <dcterms:modified xsi:type="dcterms:W3CDTF">2026-06-21T02:16:04Z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