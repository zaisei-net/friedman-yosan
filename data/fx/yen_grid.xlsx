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" sheetId="1" state="visible" r:id="rId3"/>
    <sheet name="凡例" sheetId="2" state="visible" r:id="rId4"/>
    <sheet name="取得先と埋め方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Brexit 2016-06-24 </t>
        </r>
        <r>
          <rPr>
            <sz val="10"/>
            <rFont val="Noto Sans CJK SC"/>
            <family val="2"/>
          </rPr>
          <t xml:space="preserve">日中安値</t>
        </r>
        <r>
          <rPr>
            <sz val="10"/>
            <rFont val="Arial"/>
            <family val="2"/>
          </rPr>
          <t xml:space="preserve">~99</t>
        </r>
        <r>
          <rPr>
            <sz val="10"/>
            <rFont val="Noto Sans CJK SC"/>
            <family val="2"/>
          </rPr>
          <t xml:space="preserve">。概算</t>
        </r>
      </text>
    </comment>
    <comment ref="D9" authorId="0">
      <text>
        <r>
          <rPr>
            <sz val="10"/>
            <rFont val="Arial"/>
            <family val="2"/>
          </rPr>
          <t xml:space="preserve">2016-11-09 </t>
        </r>
        <r>
          <rPr>
            <sz val="10"/>
            <rFont val="Noto Sans CJK SC"/>
            <family val="2"/>
          </rPr>
          <t xml:space="preserve">概算</t>
        </r>
      </text>
    </comment>
    <comment ref="D35" authorId="0">
      <text>
        <r>
          <rPr>
            <sz val="10"/>
            <rFont val="Arial"/>
            <family val="2"/>
          </rPr>
          <t xml:space="preserve">2019-01-03 </t>
        </r>
        <r>
          <rPr>
            <sz val="10"/>
            <rFont val="Noto Sans CJK SC"/>
            <family val="2"/>
          </rPr>
          <t xml:space="preserve">アジア時間 概算</t>
        </r>
      </text>
    </comment>
    <comment ref="D98" authorId="0">
      <text>
        <r>
          <rPr>
            <sz val="10"/>
            <rFont val="Arial"/>
            <family val="2"/>
          </rPr>
          <t xml:space="preserve">2024-04-29 </t>
        </r>
        <r>
          <rPr>
            <sz val="10"/>
            <rFont val="Noto Sans CJK SC"/>
            <family val="2"/>
          </rPr>
          <t xml:space="preserve">概算 </t>
        </r>
        <r>
          <rPr>
            <sz val="10"/>
            <rFont val="Arial"/>
            <family val="2"/>
          </rPr>
          <t xml:space="preserve">~3.5%</t>
        </r>
      </text>
    </comment>
    <comment ref="D122" authorId="0">
      <text>
        <r>
          <rPr>
            <sz val="10"/>
            <rFont val="Arial"/>
            <family val="2"/>
          </rPr>
          <t xml:space="preserve">2026-04-30 </t>
        </r>
        <r>
          <rPr>
            <sz val="10"/>
            <rFont val="Noto Sans CJK SC"/>
            <family val="2"/>
          </rPr>
          <t xml:space="preserve">概算 </t>
        </r>
        <r>
          <rPr>
            <sz val="10"/>
            <rFont val="Arial"/>
            <family val="2"/>
          </rPr>
          <t xml:space="preserve">~3%</t>
        </r>
      </text>
    </comment>
    <comment ref="F49" authorId="0">
      <text>
        <r>
          <rPr>
            <sz val="10"/>
            <rFont val="Arial"/>
            <family val="2"/>
          </rPr>
          <t xml:space="preserve">Reuters/IMF:2020-03 3M EURUSD≈-90bp;</t>
        </r>
        <r>
          <rPr>
            <sz val="10"/>
            <rFont val="Noto Sans CJK SC"/>
            <family val="2"/>
          </rPr>
          <t xml:space="preserve">円は</t>
        </r>
        <r>
          <rPr>
            <sz val="10"/>
            <rFont val="Arial"/>
            <family val="2"/>
          </rPr>
          <t xml:space="preserve">GFC</t>
        </r>
        <r>
          <rPr>
            <sz val="10"/>
            <rFont val="Noto Sans CJK SC"/>
            <family val="2"/>
          </rPr>
          <t xml:space="preserve">超</t>
        </r>
        <r>
          <rPr>
            <sz val="10"/>
            <rFont val="Arial"/>
            <family val="2"/>
          </rPr>
          <t xml:space="preserve">(IMF WP/20/113)</t>
        </r>
      </text>
    </comment>
    <comment ref="F67" authorId="0">
      <text>
        <r>
          <rPr>
            <sz val="10"/>
            <rFont val="Arial"/>
            <family val="2"/>
          </rPr>
          <t xml:space="preserve">Reuters 2021-09:3M JPY≈-25bp</t>
        </r>
      </text>
    </comment>
    <comment ref="I80" authorId="0">
      <text>
        <r>
          <rPr>
            <sz val="10"/>
            <rFont val="Arial"/>
            <family val="2"/>
          </rPr>
          <t xml:space="preserve">CFTC/Reuters:</t>
        </r>
        <r>
          <rPr>
            <sz val="10"/>
            <rFont val="Noto Sans CJK SC"/>
            <family val="2"/>
          </rPr>
          <t xml:space="preserve">週次 </t>
        </r>
        <r>
          <rPr>
            <sz val="10"/>
            <rFont val="Arial"/>
            <family val="2"/>
          </rPr>
          <t xml:space="preserve">prior to 2022-11-01 net -102,618</t>
        </r>
        <r>
          <rPr>
            <sz val="10"/>
            <rFont val="Noto Sans CJK SC"/>
            <family val="2"/>
          </rPr>
          <t xml:space="preserve">枚</t>
        </r>
      </text>
    </comment>
    <comment ref="I81" authorId="0">
      <text>
        <r>
          <rPr>
            <sz val="10"/>
            <rFont val="Arial"/>
            <family val="2"/>
          </rPr>
          <t xml:space="preserve">CFTC/Reuters 2022-11-01: net -77,620</t>
        </r>
        <r>
          <rPr>
            <sz val="10"/>
            <rFont val="Noto Sans CJK SC"/>
            <family val="2"/>
          </rPr>
          <t xml:space="preserve">枚</t>
        </r>
      </text>
    </comment>
    <comment ref="I102" authorId="0">
      <text>
        <r>
          <rPr>
            <sz val="10"/>
            <rFont val="Arial"/>
            <family val="2"/>
          </rPr>
          <t xml:space="preserve">CFTC/LSEG/Reuters:2024-08-06 leveraged funds net -24,158(</t>
        </r>
        <r>
          <rPr>
            <sz val="10"/>
            <rFont val="Noto Sans CJK SC"/>
            <family val="2"/>
          </rPr>
          <t xml:space="preserve">前週</t>
        </r>
        <r>
          <rPr>
            <sz val="10"/>
            <rFont val="Arial"/>
            <family val="2"/>
          </rPr>
          <t xml:space="preserve">~-70,000)</t>
        </r>
      </text>
    </comment>
    <comment ref="I103" authorId="0">
      <text>
        <r>
          <rPr>
            <sz val="10"/>
            <rFont val="Arial"/>
            <family val="2"/>
          </rPr>
          <t xml:space="preserve">FXStreet/CFTC:2024-09-03 noncomm ≈ +41K</t>
        </r>
      </text>
    </comment>
    <comment ref="I113" authorId="0">
      <text>
        <r>
          <rPr>
            <sz val="10"/>
            <rFont val="Arial"/>
            <family val="2"/>
          </rPr>
          <t xml:space="preserve">FXStreet/CFTC:2025-07-29 noncomm ≈ +89.3K; </t>
        </r>
        <r>
          <rPr>
            <sz val="10"/>
            <rFont val="Noto Sans CJK SC"/>
            <family val="2"/>
          </rPr>
          <t xml:space="preserve">機関 </t>
        </r>
        <r>
          <rPr>
            <sz val="10"/>
            <rFont val="Arial"/>
            <family val="2"/>
          </rPr>
          <t xml:space="preserve">-92.5K</t>
        </r>
      </text>
    </comment>
    <comment ref="I121" authorId="0">
      <text>
        <r>
          <rPr>
            <sz val="10"/>
            <rFont val="Arial"/>
            <family val="2"/>
          </rPr>
          <t xml:space="preserve">CFTC/VT:2026-03 noncomm -16.6K→-41.4K</t>
        </r>
      </text>
    </comment>
  </commentList>
</comments>
</file>

<file path=xl/sharedStrings.xml><?xml version="1.0" encoding="utf-8"?>
<sst xmlns="http://schemas.openxmlformats.org/spreadsheetml/2006/main" count="212" uniqueCount="204">
  <si>
    <r>
      <rPr>
        <b val="true"/>
        <sz val="11"/>
        <color rgb="FFFFFFFF"/>
        <rFont val="Noto Sans CJK SC"/>
        <family val="2"/>
      </rPr>
      <t xml:space="preserve">月</t>
    </r>
    <r>
      <rPr>
        <b val="true"/>
        <sz val="11"/>
        <color rgb="FFFFFFFF"/>
        <rFont val="Arial"/>
        <family val="0"/>
        <charset val="1"/>
      </rPr>
      <t xml:space="preserve">(YYYY-MM)</t>
    </r>
  </si>
  <si>
    <r>
      <rPr>
        <b val="true"/>
        <sz val="11"/>
        <color rgb="FFFFFFFF"/>
        <rFont val="Noto Sans CJK SC"/>
        <family val="2"/>
      </rPr>
      <t xml:space="preserve">実現ボラ</t>
    </r>
    <r>
      <rPr>
        <b val="true"/>
        <sz val="11"/>
        <color rgb="FFFFFFFF"/>
        <rFont val="Arial"/>
        <family val="0"/>
        <charset val="1"/>
      </rPr>
      <t xml:space="preserve">%</t>
    </r>
  </si>
  <si>
    <t xml:space="preserve">ボラ区分</t>
  </si>
  <si>
    <r>
      <rPr>
        <b val="true"/>
        <sz val="11"/>
        <color rgb="FFFFFFFF"/>
        <rFont val="Noto Sans CJK SC"/>
        <family val="2"/>
      </rPr>
      <t xml:space="preserve">最大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日変動</t>
    </r>
    <r>
      <rPr>
        <b val="true"/>
        <sz val="11"/>
        <color rgb="FFFFFFFF"/>
        <rFont val="Arial"/>
        <family val="0"/>
        <charset val="1"/>
      </rPr>
      <t xml:space="preserve">%</t>
    </r>
  </si>
  <si>
    <r>
      <rPr>
        <b val="true"/>
        <sz val="11"/>
        <color rgb="FFFFFFFF"/>
        <rFont val="Arial"/>
        <family val="0"/>
        <charset val="1"/>
      </rPr>
      <t xml:space="preserve">3σ</t>
    </r>
    <r>
      <rPr>
        <b val="true"/>
        <sz val="11"/>
        <color rgb="FFFFFFFF"/>
        <rFont val="Noto Sans CJK SC"/>
        <family val="2"/>
      </rPr>
      <t xml:space="preserve">日数</t>
    </r>
  </si>
  <si>
    <r>
      <rPr>
        <b val="true"/>
        <sz val="11"/>
        <color rgb="FFFFFFFF"/>
        <rFont val="Noto Sans CJK SC"/>
        <family val="2"/>
      </rPr>
      <t xml:space="preserve">ベーシス</t>
    </r>
    <r>
      <rPr>
        <b val="true"/>
        <sz val="11"/>
        <color rgb="FFFFFFFF"/>
        <rFont val="Arial"/>
        <family val="0"/>
        <charset val="1"/>
      </rPr>
      <t xml:space="preserve">3M(bp)</t>
    </r>
  </si>
  <si>
    <t xml:space="preserve">ベーシス区分</t>
  </si>
  <si>
    <r>
      <rPr>
        <b val="true"/>
        <sz val="11"/>
        <color rgb="FFFFFFFF"/>
        <rFont val="Noto Sans CJK SC"/>
        <family val="2"/>
      </rPr>
      <t xml:space="preserve">板ストレス</t>
    </r>
    <r>
      <rPr>
        <b val="true"/>
        <sz val="11"/>
        <color rgb="FFFFFFFF"/>
        <rFont val="Arial"/>
        <family val="0"/>
        <charset val="1"/>
      </rPr>
      <t xml:space="preserve">(1)</t>
    </r>
  </si>
  <si>
    <r>
      <rPr>
        <b val="true"/>
        <sz val="11"/>
        <color rgb="FFFFFFFF"/>
        <rFont val="Arial"/>
        <family val="0"/>
        <charset val="1"/>
      </rPr>
      <t xml:space="preserve">CME</t>
    </r>
    <r>
      <rPr>
        <b val="true"/>
        <sz val="11"/>
        <color rgb="FFFFFFFF"/>
        <rFont val="Noto Sans CJK SC"/>
        <family val="2"/>
      </rPr>
      <t xml:space="preserve">円ネット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枚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</si>
  <si>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ポジション区分</t>
  </si>
  <si>
    <t xml:space="preserve">同時点灯本数</t>
  </si>
  <si>
    <r>
      <rPr>
        <b val="true"/>
        <sz val="11"/>
        <color rgb="FFFFFFFF"/>
        <rFont val="Noto Sans CJK SC"/>
        <family val="2"/>
      </rPr>
      <t xml:space="preserve">備考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出所</t>
    </r>
  </si>
  <si>
    <t xml:space="preserve">2016-04</t>
  </si>
  <si>
    <t xml:space="preserve">2016-05</t>
  </si>
  <si>
    <t xml:space="preserve">2016-06</t>
  </si>
  <si>
    <r>
      <rPr>
        <i val="true"/>
        <sz val="9"/>
        <rFont val="Arial"/>
        <family val="0"/>
        <charset val="1"/>
      </rPr>
      <t xml:space="preserve">Brexit(6/24):</t>
    </r>
    <r>
      <rPr>
        <i val="true"/>
        <sz val="9"/>
        <rFont val="Noto Sans CJK SC"/>
        <family val="2"/>
      </rPr>
      <t xml:space="preserve">ドル円</t>
    </r>
    <r>
      <rPr>
        <i val="true"/>
        <sz val="9"/>
        <rFont val="Arial"/>
        <family val="0"/>
        <charset val="1"/>
      </rPr>
      <t xml:space="preserve">~106→99</t>
    </r>
    <r>
      <rPr>
        <i val="true"/>
        <sz val="9"/>
        <rFont val="Noto Sans CJK SC"/>
        <family val="2"/>
      </rPr>
      <t xml:space="preserve">日中約</t>
    </r>
    <r>
      <rPr>
        <i val="true"/>
        <sz val="9"/>
        <rFont val="Arial"/>
        <family val="0"/>
        <charset val="1"/>
      </rPr>
      <t xml:space="preserve">7%</t>
    </r>
    <r>
      <rPr>
        <i val="true"/>
        <sz val="9"/>
        <rFont val="Noto Sans CJK SC"/>
        <family val="2"/>
      </rPr>
      <t xml:space="preserve">。実現ボラ・インプライド急騰。投機はネットロング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非ショート</t>
    </r>
    <r>
      <rPr>
        <i val="true"/>
        <sz val="9"/>
        <rFont val="Arial"/>
        <family val="0"/>
        <charset val="1"/>
      </rPr>
      <t xml:space="preserve">)</t>
    </r>
  </si>
  <si>
    <t xml:space="preserve">2016-07</t>
  </si>
  <si>
    <t xml:space="preserve">2016-08</t>
  </si>
  <si>
    <t xml:space="preserve">2016-09</t>
  </si>
  <si>
    <r>
      <rPr>
        <i val="true"/>
        <sz val="9"/>
        <rFont val="Noto Sans CJK SC"/>
        <family val="2"/>
      </rPr>
      <t xml:space="preserve">米</t>
    </r>
    <r>
      <rPr>
        <i val="true"/>
        <sz val="9"/>
        <rFont val="Arial"/>
        <family val="0"/>
        <charset val="1"/>
      </rPr>
      <t xml:space="preserve">MMF</t>
    </r>
    <r>
      <rPr>
        <i val="true"/>
        <sz val="9"/>
        <rFont val="Noto Sans CJK SC"/>
        <family val="2"/>
      </rPr>
      <t xml:space="preserve">改革</t>
    </r>
    <r>
      <rPr>
        <i val="true"/>
        <sz val="9"/>
        <rFont val="Arial"/>
        <family val="0"/>
        <charset val="1"/>
      </rPr>
      <t xml:space="preserve">+</t>
    </r>
    <r>
      <rPr>
        <i val="true"/>
        <sz val="9"/>
        <rFont val="Noto Sans CJK SC"/>
        <family val="2"/>
      </rPr>
      <t xml:space="preserve">日米政策乖離で</t>
    </r>
    <r>
      <rPr>
        <i val="true"/>
        <sz val="9"/>
        <rFont val="Arial"/>
        <family val="0"/>
        <charset val="1"/>
      </rPr>
      <t xml:space="preserve">XCCY</t>
    </r>
    <r>
      <rPr>
        <i val="true"/>
        <sz val="9"/>
        <rFont val="Noto Sans CJK SC"/>
        <family val="2"/>
      </rPr>
      <t xml:space="preserve">ベーシスがストレス帯入り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年後半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。</t>
    </r>
    <r>
      <rPr>
        <i val="true"/>
        <sz val="9"/>
        <rFont val="Arial"/>
        <family val="0"/>
        <charset val="1"/>
      </rPr>
      <t xml:space="preserve">BIS 2016 nagano</t>
    </r>
  </si>
  <si>
    <t xml:space="preserve">2016-10</t>
  </si>
  <si>
    <t xml:space="preserve">2016-11</t>
  </si>
  <si>
    <r>
      <rPr>
        <i val="true"/>
        <sz val="9"/>
        <rFont val="Noto Sans CJK SC"/>
        <family val="2"/>
      </rPr>
      <t xml:space="preserve">米大統領選</t>
    </r>
    <r>
      <rPr>
        <i val="true"/>
        <sz val="9"/>
        <rFont val="Arial"/>
        <family val="0"/>
        <charset val="1"/>
      </rPr>
      <t xml:space="preserve">(11/9)</t>
    </r>
    <r>
      <rPr>
        <i val="true"/>
        <sz val="9"/>
        <rFont val="Noto Sans CJK SC"/>
        <family val="2"/>
      </rPr>
      <t xml:space="preserve">で大幅変動。</t>
    </r>
    <r>
      <rPr>
        <i val="true"/>
        <sz val="9"/>
        <rFont val="Arial"/>
        <family val="0"/>
        <charset val="1"/>
      </rPr>
      <t xml:space="preserve">CME</t>
    </r>
    <r>
      <rPr>
        <i val="true"/>
        <sz val="9"/>
        <rFont val="Noto Sans CJK SC"/>
        <family val="2"/>
      </rPr>
      <t xml:space="preserve">はショートへ転換</t>
    </r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</si>
  <si>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</si>
  <si>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</si>
  <si>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</si>
  <si>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</si>
  <si>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</si>
  <si>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</si>
  <si>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</si>
  <si>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</si>
  <si>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</si>
  <si>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</si>
  <si>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</si>
  <si>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</si>
  <si>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</si>
  <si>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</si>
  <si>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</si>
  <si>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r>
      <rPr>
        <i val="true"/>
        <sz val="9"/>
        <rFont val="Arial"/>
        <family val="0"/>
        <charset val="1"/>
      </rPr>
      <t xml:space="preserve">Volmageddon(</t>
    </r>
    <r>
      <rPr>
        <i val="true"/>
        <sz val="9"/>
        <rFont val="Noto Sans CJK SC"/>
        <family val="2"/>
      </rPr>
      <t xml:space="preserve">株主導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。ドル円ボラは中位の瞬間上昇</t>
    </r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</si>
  <si>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</si>
  <si>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</si>
  <si>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</si>
  <si>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</si>
  <si>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</si>
  <si>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</si>
  <si>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</si>
  <si>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</si>
  <si>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</si>
  <si>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</si>
  <si>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r>
      <rPr>
        <i val="true"/>
        <sz val="9"/>
        <rFont val="Arial"/>
        <family val="0"/>
        <charset val="1"/>
      </rPr>
      <t xml:space="preserve">2018</t>
    </r>
    <r>
      <rPr>
        <i val="true"/>
        <sz val="9"/>
        <rFont val="Noto Sans CJK SC"/>
        <family val="2"/>
      </rPr>
      <t xml:space="preserve">年通年</t>
    </r>
    <r>
      <rPr>
        <i val="true"/>
        <sz val="9"/>
        <rFont val="Arial"/>
        <family val="0"/>
        <charset val="1"/>
      </rPr>
      <t xml:space="preserve">:CME</t>
    </r>
    <r>
      <rPr>
        <i val="true"/>
        <sz val="9"/>
        <rFont val="Noto Sans CJK SC"/>
        <family val="2"/>
      </rPr>
      <t xml:space="preserve">円ネットショート約</t>
    </r>
    <r>
      <rPr>
        <i val="true"/>
        <sz val="9"/>
        <rFont val="Arial"/>
        <family val="0"/>
        <charset val="1"/>
      </rPr>
      <t xml:space="preserve">-11</t>
    </r>
    <r>
      <rPr>
        <i val="true"/>
        <sz val="9"/>
        <rFont val="Noto Sans CJK SC"/>
        <family val="2"/>
      </rPr>
      <t xml:space="preserve">〜</t>
    </r>
    <r>
      <rPr>
        <i val="true"/>
        <sz val="9"/>
        <rFont val="Arial"/>
        <family val="0"/>
        <charset val="1"/>
      </rPr>
      <t xml:space="preserve">-13</t>
    </r>
    <r>
      <rPr>
        <i val="true"/>
        <sz val="9"/>
        <rFont val="Noto Sans CJK SC"/>
        <family val="2"/>
      </rPr>
      <t xml:space="preserve">万枚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ポジション単独点灯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。月次実数は要</t>
    </r>
    <r>
      <rPr>
        <i val="true"/>
        <sz val="9"/>
        <rFont val="Arial"/>
        <family val="0"/>
        <charset val="1"/>
      </rPr>
      <t xml:space="preserve">CFTC</t>
    </r>
  </si>
  <si>
    <t xml:space="preserve">2019-01</t>
  </si>
  <si>
    <r>
      <rPr>
        <i val="true"/>
        <sz val="9"/>
        <rFont val="Arial"/>
        <family val="0"/>
        <charset val="1"/>
      </rPr>
      <t xml:space="preserve">1/3</t>
    </r>
    <r>
      <rPr>
        <i val="true"/>
        <sz val="9"/>
        <rFont val="Noto Sans CJK SC"/>
        <family val="2"/>
      </rPr>
      <t xml:space="preserve">フラッシュクラッシュ</t>
    </r>
    <r>
      <rPr>
        <i val="true"/>
        <sz val="9"/>
        <rFont val="Arial"/>
        <family val="0"/>
        <charset val="1"/>
      </rPr>
      <t xml:space="preserve">:</t>
    </r>
    <r>
      <rPr>
        <i val="true"/>
        <sz val="9"/>
        <rFont val="Noto Sans CJK SC"/>
        <family val="2"/>
      </rPr>
      <t xml:space="preserve">薄い正月流動性で数分に約</t>
    </r>
    <r>
      <rPr>
        <i val="true"/>
        <sz val="9"/>
        <rFont val="Arial"/>
        <family val="0"/>
        <charset val="1"/>
      </rPr>
      <t xml:space="preserve">4</t>
    </r>
    <r>
      <rPr>
        <i val="true"/>
        <sz val="9"/>
        <rFont val="Noto Sans CJK SC"/>
        <family val="2"/>
      </rPr>
      <t xml:space="preserve">円。自己修復。直前は大型ショート→</t>
    </r>
    <r>
      <rPr>
        <i val="true"/>
        <sz val="9"/>
        <rFont val="Arial"/>
        <family val="0"/>
        <charset val="1"/>
      </rPr>
      <t xml:space="preserve">squeeze</t>
    </r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</si>
  <si>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</si>
  <si>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</si>
  <si>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</si>
  <si>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</si>
  <si>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</si>
  <si>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</si>
  <si>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</si>
  <si>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r>
      <rPr>
        <i val="true"/>
        <sz val="9"/>
        <rFont val="Noto Sans CJK SC"/>
        <family val="2"/>
      </rPr>
      <t xml:space="preserve">米中貿易戦争でリスクオフ、円高・ボラ警戒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瞬間</t>
    </r>
    <r>
      <rPr>
        <i val="true"/>
        <sz val="9"/>
        <rFont val="Arial"/>
        <family val="0"/>
        <charset val="1"/>
      </rPr>
      <t xml:space="preserve">)</t>
    </r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</si>
  <si>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</si>
  <si>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</si>
  <si>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</si>
  <si>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</si>
  <si>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</si>
  <si>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</si>
  <si>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</si>
  <si>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r>
      <rPr>
        <i val="true"/>
        <sz val="9"/>
        <rFont val="Arial"/>
        <family val="0"/>
        <charset val="1"/>
      </rPr>
      <t xml:space="preserve">COVID:</t>
    </r>
    <r>
      <rPr>
        <i val="true"/>
        <sz val="9"/>
        <rFont val="Noto Sans CJK SC"/>
        <family val="2"/>
      </rPr>
      <t xml:space="preserve">ドル不足で</t>
    </r>
    <r>
      <rPr>
        <i val="true"/>
        <sz val="9"/>
        <rFont val="Arial"/>
        <family val="0"/>
        <charset val="1"/>
      </rPr>
      <t xml:space="preserve">3M</t>
    </r>
    <r>
      <rPr>
        <i val="true"/>
        <sz val="9"/>
        <rFont val="Noto Sans CJK SC"/>
        <family val="2"/>
      </rPr>
      <t xml:space="preserve">ベーシスが</t>
    </r>
    <r>
      <rPr>
        <i val="true"/>
        <sz val="9"/>
        <rFont val="Arial"/>
        <family val="0"/>
        <charset val="1"/>
      </rPr>
      <t xml:space="preserve">EUR</t>
    </r>
    <r>
      <rPr>
        <i val="true"/>
        <sz val="9"/>
        <rFont val="Noto Sans CJK SC"/>
        <family val="2"/>
      </rPr>
      <t xml:space="preserve">約</t>
    </r>
    <r>
      <rPr>
        <i val="true"/>
        <sz val="9"/>
        <rFont val="Arial"/>
        <family val="0"/>
        <charset val="1"/>
      </rPr>
      <t xml:space="preserve">-90bp</t>
    </r>
    <r>
      <rPr>
        <i val="true"/>
        <sz val="9"/>
        <rFont val="Noto Sans CJK SC"/>
        <family val="2"/>
      </rPr>
      <t xml:space="preserve">、円は</t>
    </r>
    <r>
      <rPr>
        <i val="true"/>
        <sz val="9"/>
        <rFont val="Arial"/>
        <family val="0"/>
        <charset val="1"/>
      </rPr>
      <t xml:space="preserve">GFC</t>
    </r>
    <r>
      <rPr>
        <i val="true"/>
        <sz val="9"/>
        <rFont val="Noto Sans CJK SC"/>
        <family val="2"/>
      </rPr>
      <t xml:space="preserve">超</t>
    </r>
    <r>
      <rPr>
        <i val="true"/>
        <sz val="9"/>
        <rFont val="Arial"/>
        <family val="0"/>
        <charset val="1"/>
      </rPr>
      <t xml:space="preserve">(-140bp</t>
    </r>
    <r>
      <rPr>
        <i val="true"/>
        <sz val="9"/>
        <rFont val="Noto Sans CJK SC"/>
        <family val="2"/>
      </rPr>
      <t xml:space="preserve">前後の推計も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。</t>
    </r>
    <r>
      <rPr>
        <i val="true"/>
        <sz val="9"/>
        <rFont val="Arial"/>
        <family val="0"/>
        <charset val="1"/>
      </rPr>
      <t xml:space="preserve">3/19 FRB</t>
    </r>
    <r>
      <rPr>
        <i val="true"/>
        <sz val="9"/>
        <rFont val="Noto Sans CJK SC"/>
        <family val="2"/>
      </rPr>
      <t xml:space="preserve">スワップラインで圧縮。ボラ</t>
    </r>
    <r>
      <rPr>
        <i val="true"/>
        <sz val="9"/>
        <rFont val="Arial"/>
        <family val="0"/>
        <charset val="1"/>
      </rPr>
      <t xml:space="preserve">25%</t>
    </r>
    <r>
      <rPr>
        <i val="true"/>
        <sz val="9"/>
        <rFont val="Noto Sans CJK SC"/>
        <family val="2"/>
      </rPr>
      <t xml:space="preserve">超</t>
    </r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</si>
  <si>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</si>
  <si>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</si>
  <si>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</si>
  <si>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</si>
  <si>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</si>
  <si>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</si>
  <si>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</si>
  <si>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</si>
  <si>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</si>
  <si>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</si>
  <si>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</si>
  <si>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</si>
  <si>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</si>
  <si>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</si>
  <si>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</si>
  <si>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</si>
  <si>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</si>
  <si>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</si>
  <si>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r>
      <rPr>
        <i val="true"/>
        <sz val="9"/>
        <rFont val="Noto Sans CJK SC"/>
        <family val="2"/>
      </rPr>
      <t xml:space="preserve">年末ターン需要で</t>
    </r>
    <r>
      <rPr>
        <i val="true"/>
        <sz val="9"/>
        <rFont val="Arial"/>
        <family val="0"/>
        <charset val="1"/>
      </rPr>
      <t xml:space="preserve">-25bp(2020/12</t>
    </r>
    <r>
      <rPr>
        <i val="true"/>
        <sz val="9"/>
        <rFont val="Noto Sans CJK SC"/>
        <family val="2"/>
      </rPr>
      <t xml:space="preserve">以来の拡大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だが資金市場ストレスなし。</t>
    </r>
    <r>
      <rPr>
        <i val="true"/>
        <sz val="9"/>
        <rFont val="Arial"/>
        <family val="0"/>
        <charset val="1"/>
      </rPr>
      <t xml:space="preserve">-80bp</t>
    </r>
    <r>
      <rPr>
        <i val="true"/>
        <sz val="9"/>
        <rFont val="Noto Sans CJK SC"/>
        <family val="2"/>
      </rPr>
      <t xml:space="preserve">閾は未達</t>
    </r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</si>
  <si>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</si>
  <si>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</si>
  <si>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</si>
  <si>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</si>
  <si>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</si>
  <si>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</si>
  <si>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</si>
  <si>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</si>
  <si>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</si>
  <si>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</si>
  <si>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</si>
  <si>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</si>
  <si>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</si>
  <si>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r>
      <rPr>
        <i val="true"/>
        <sz val="9"/>
        <rFont val="Noto Sans CJK SC"/>
        <family val="2"/>
      </rPr>
      <t xml:space="preserve">円急落。</t>
    </r>
    <r>
      <rPr>
        <i val="true"/>
        <sz val="9"/>
        <rFont val="Arial"/>
        <family val="0"/>
        <charset val="1"/>
      </rPr>
      <t xml:space="preserve">10/21</t>
    </r>
    <r>
      <rPr>
        <i val="true"/>
        <sz val="9"/>
        <rFont val="Noto Sans CJK SC"/>
        <family val="2"/>
      </rPr>
      <t xml:space="preserve">反転</t>
    </r>
    <r>
      <rPr>
        <i val="true"/>
        <sz val="9"/>
        <rFont val="Arial"/>
        <family val="0"/>
        <charset val="1"/>
      </rPr>
      <t xml:space="preserve">(~152→146)</t>
    </r>
    <r>
      <rPr>
        <i val="true"/>
        <sz val="9"/>
        <rFont val="Noto Sans CJK SC"/>
        <family val="2"/>
      </rPr>
      <t xml:space="preserve">。</t>
    </r>
    <r>
      <rPr>
        <i val="true"/>
        <sz val="9"/>
        <rFont val="Arial"/>
        <family val="0"/>
        <charset val="1"/>
      </rPr>
      <t xml:space="preserve">CME</t>
    </r>
    <r>
      <rPr>
        <i val="true"/>
        <sz val="9"/>
        <rFont val="Noto Sans CJK SC"/>
        <family val="2"/>
      </rPr>
      <t xml:space="preserve">円ネットショートが約</t>
    </r>
    <r>
      <rPr>
        <i val="true"/>
        <sz val="9"/>
        <rFont val="Arial"/>
        <family val="0"/>
        <charset val="1"/>
      </rPr>
      <t xml:space="preserve">-10.3</t>
    </r>
    <r>
      <rPr>
        <i val="true"/>
        <sz val="9"/>
        <rFont val="Noto Sans CJK SC"/>
        <family val="2"/>
      </rPr>
      <t xml:space="preserve">万枚でピーク</t>
    </r>
  </si>
  <si>
    <t xml:space="preserve">2022-11</t>
  </si>
  <si>
    <r>
      <rPr>
        <i val="true"/>
        <sz val="9"/>
        <rFont val="Noto Sans CJK SC"/>
        <family val="2"/>
      </rPr>
      <t xml:space="preserve">介入後ショート縮小。</t>
    </r>
    <r>
      <rPr>
        <i val="true"/>
        <sz val="9"/>
        <rFont val="Arial"/>
        <family val="0"/>
        <charset val="1"/>
      </rPr>
      <t xml:space="preserve">net -77,620</t>
    </r>
    <r>
      <rPr>
        <i val="true"/>
        <sz val="9"/>
        <rFont val="Noto Sans CJK SC"/>
        <family val="2"/>
      </rPr>
      <t xml:space="preserve">枚</t>
    </r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</si>
  <si>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</si>
  <si>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</si>
  <si>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</si>
  <si>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</si>
  <si>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</si>
  <si>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</si>
  <si>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</si>
  <si>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</si>
  <si>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r>
      <rPr>
        <i val="true"/>
        <sz val="9"/>
        <rFont val="Arial"/>
        <family val="0"/>
        <charset val="1"/>
      </rPr>
      <t xml:space="preserve">2023</t>
    </r>
    <r>
      <rPr>
        <i val="true"/>
        <sz val="9"/>
        <rFont val="Noto Sans CJK SC"/>
        <family val="2"/>
      </rPr>
      <t xml:space="preserve">年は円</t>
    </r>
    <r>
      <rPr>
        <i val="true"/>
        <sz val="9"/>
        <rFont val="Arial"/>
        <family val="0"/>
        <charset val="1"/>
      </rPr>
      <t xml:space="preserve">130→152</t>
    </r>
    <r>
      <rPr>
        <i val="true"/>
        <sz val="9"/>
        <rFont val="Noto Sans CJK SC"/>
        <family val="2"/>
      </rPr>
      <t xml:space="preserve">、口先のみ実弾なし。</t>
    </r>
    <r>
      <rPr>
        <i val="true"/>
        <sz val="9"/>
        <rFont val="Arial"/>
        <family val="0"/>
        <charset val="1"/>
      </rPr>
      <t xml:space="preserve">CME</t>
    </r>
    <r>
      <rPr>
        <i val="true"/>
        <sz val="9"/>
        <rFont val="Noto Sans CJK SC"/>
        <family val="2"/>
      </rPr>
      <t xml:space="preserve">ショート常態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約</t>
    </r>
    <r>
      <rPr>
        <i val="true"/>
        <sz val="9"/>
        <rFont val="Arial"/>
        <family val="0"/>
        <charset val="1"/>
      </rPr>
      <t xml:space="preserve">-10</t>
    </r>
    <r>
      <rPr>
        <i val="true"/>
        <sz val="9"/>
        <rFont val="Noto Sans CJK SC"/>
        <family val="2"/>
      </rPr>
      <t xml:space="preserve">万枚前後</t>
    </r>
    <r>
      <rPr>
        <i val="true"/>
        <sz val="9"/>
        <rFont val="Arial"/>
        <family val="0"/>
        <charset val="1"/>
      </rPr>
      <t xml:space="preserve">)=</t>
    </r>
    <r>
      <rPr>
        <i val="true"/>
        <sz val="9"/>
        <rFont val="Noto Sans CJK SC"/>
        <family val="2"/>
      </rPr>
      <t xml:space="preserve">ポジション単独点灯。月次実数は要</t>
    </r>
    <r>
      <rPr>
        <i val="true"/>
        <sz val="9"/>
        <rFont val="Arial"/>
        <family val="0"/>
        <charset val="1"/>
      </rPr>
      <t xml:space="preserve">CFTC</t>
    </r>
  </si>
  <si>
    <t xml:space="preserve">2023-08</t>
  </si>
  <si>
    <t xml:space="preserve">2023-09</t>
  </si>
  <si>
    <t xml:space="preserve">2023-10</t>
  </si>
  <si>
    <t xml:space="preserve">2023-11</t>
  </si>
  <si>
    <r>
      <rPr>
        <i val="true"/>
        <sz val="9"/>
        <rFont val="Arial"/>
        <family val="0"/>
        <charset val="1"/>
      </rPr>
      <t xml:space="preserve">152</t>
    </r>
    <r>
      <rPr>
        <i val="true"/>
        <sz val="9"/>
        <rFont val="Noto Sans CJK SC"/>
        <family val="2"/>
      </rPr>
      <t xml:space="preserve">接近、介入観測のみ。ポジション単独点灯継続</t>
    </r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</si>
  <si>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</si>
  <si>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</si>
  <si>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</si>
  <si>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</si>
  <si>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</si>
  <si>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r>
      <rPr>
        <i val="true"/>
        <sz val="9"/>
        <rFont val="Arial"/>
        <family val="0"/>
        <charset val="1"/>
      </rPr>
      <t xml:space="preserve">160</t>
    </r>
    <r>
      <rPr>
        <i val="true"/>
        <sz val="9"/>
        <rFont val="Noto Sans CJK SC"/>
        <family val="2"/>
      </rPr>
      <t xml:space="preserve">突破。</t>
    </r>
    <r>
      <rPr>
        <i val="true"/>
        <sz val="9"/>
        <rFont val="Arial"/>
        <family val="0"/>
        <charset val="1"/>
      </rPr>
      <t xml:space="preserve">4/29</t>
    </r>
    <r>
      <rPr>
        <i val="true"/>
        <sz val="9"/>
        <rFont val="Noto Sans CJK SC"/>
        <family val="2"/>
      </rPr>
      <t xml:space="preserve">介入</t>
    </r>
    <r>
      <rPr>
        <i val="true"/>
        <sz val="9"/>
        <rFont val="Arial"/>
        <family val="0"/>
        <charset val="1"/>
      </rPr>
      <t xml:space="preserve">160→154(</t>
    </r>
    <r>
      <rPr>
        <i val="true"/>
        <sz val="9"/>
        <rFont val="Noto Sans CJK SC"/>
        <family val="2"/>
      </rPr>
      <t xml:space="preserve">約</t>
    </r>
    <r>
      <rPr>
        <i val="true"/>
        <sz val="9"/>
        <rFont val="Arial"/>
        <family val="0"/>
        <charset val="1"/>
      </rPr>
      <t xml:space="preserve">5</t>
    </r>
    <r>
      <rPr>
        <i val="true"/>
        <sz val="9"/>
        <rFont val="Noto Sans CJK SC"/>
        <family val="2"/>
      </rPr>
      <t xml:space="preserve">円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。</t>
    </r>
    <r>
      <rPr>
        <i val="true"/>
        <sz val="9"/>
        <rFont val="Arial"/>
        <family val="0"/>
        <charset val="1"/>
      </rPr>
      <t xml:space="preserve">CME</t>
    </r>
    <r>
      <rPr>
        <i val="true"/>
        <sz val="9"/>
        <rFont val="Noto Sans CJK SC"/>
        <family val="2"/>
      </rPr>
      <t xml:space="preserve">ショートは記録的水準へ拡大</t>
    </r>
  </si>
  <si>
    <t xml:space="preserve">2024-05</t>
  </si>
  <si>
    <t xml:space="preserve">2024-06</t>
  </si>
  <si>
    <t xml:space="preserve">2024-07</t>
  </si>
  <si>
    <r>
      <rPr>
        <i val="true"/>
        <sz val="9"/>
        <rFont val="Arial"/>
        <family val="0"/>
        <charset val="1"/>
      </rPr>
      <t xml:space="preserve">7/11</t>
    </r>
    <r>
      <rPr>
        <i val="true"/>
        <sz val="9"/>
        <rFont val="Noto Sans CJK SC"/>
        <family val="2"/>
      </rPr>
      <t xml:space="preserve">・</t>
    </r>
    <r>
      <rPr>
        <i val="true"/>
        <sz val="9"/>
        <rFont val="Arial"/>
        <family val="0"/>
        <charset val="1"/>
      </rPr>
      <t xml:space="preserve">7/12</t>
    </r>
    <r>
      <rPr>
        <i val="true"/>
        <sz val="9"/>
        <rFont val="Noto Sans CJK SC"/>
        <family val="2"/>
      </rPr>
      <t xml:space="preserve">介入。投機ネットショートは記録的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約</t>
    </r>
    <r>
      <rPr>
        <i val="true"/>
        <sz val="9"/>
        <rFont val="Arial"/>
        <family val="0"/>
        <charset val="1"/>
      </rPr>
      <t xml:space="preserve">-18</t>
    </r>
    <r>
      <rPr>
        <i val="true"/>
        <sz val="9"/>
        <rFont val="Noto Sans CJK SC"/>
        <family val="2"/>
      </rPr>
      <t xml:space="preserve">万枚とされる</t>
    </r>
    <r>
      <rPr>
        <i val="true"/>
        <sz val="9"/>
        <rFont val="Arial"/>
        <family val="0"/>
        <charset val="1"/>
      </rPr>
      <t xml:space="preserve">:</t>
    </r>
    <r>
      <rPr>
        <i val="true"/>
        <sz val="9"/>
        <rFont val="Noto Sans CJK SC"/>
        <family val="2"/>
      </rPr>
      <t xml:space="preserve">要確認</t>
    </r>
    <r>
      <rPr>
        <i val="true"/>
        <sz val="9"/>
        <rFont val="Arial"/>
        <family val="0"/>
        <charset val="1"/>
      </rPr>
      <t xml:space="preserve">)</t>
    </r>
  </si>
  <si>
    <t xml:space="preserve">2024-08</t>
  </si>
  <si>
    <r>
      <rPr>
        <i val="true"/>
        <sz val="9"/>
        <rFont val="Arial"/>
        <family val="0"/>
        <charset val="1"/>
      </rPr>
      <t xml:space="preserve">8/5</t>
    </r>
    <r>
      <rPr>
        <i val="true"/>
        <sz val="9"/>
        <rFont val="Noto Sans CJK SC"/>
        <family val="2"/>
      </rPr>
      <t xml:space="preserve">キャリー巻き戻し</t>
    </r>
    <r>
      <rPr>
        <i val="true"/>
        <sz val="9"/>
        <rFont val="Arial"/>
        <family val="0"/>
        <charset val="1"/>
      </rPr>
      <t xml:space="preserve">:</t>
    </r>
    <r>
      <rPr>
        <i val="true"/>
        <sz val="9"/>
        <rFont val="Noto Sans CJK SC"/>
        <family val="2"/>
      </rPr>
      <t xml:space="preserve">ボラ</t>
    </r>
    <r>
      <rPr>
        <i val="true"/>
        <sz val="9"/>
        <rFont val="Arial"/>
        <family val="0"/>
        <charset val="1"/>
      </rPr>
      <t xml:space="preserve">20%</t>
    </r>
    <r>
      <rPr>
        <i val="true"/>
        <sz val="9"/>
        <rFont val="Noto Sans CJK SC"/>
        <family val="2"/>
      </rPr>
      <t xml:space="preserve">超。レバレッジドファンドのショートが前週</t>
    </r>
    <r>
      <rPr>
        <i val="true"/>
        <sz val="9"/>
        <rFont val="Arial"/>
        <family val="0"/>
        <charset val="1"/>
      </rPr>
      <t xml:space="preserve">~7</t>
    </r>
    <r>
      <rPr>
        <i val="true"/>
        <sz val="9"/>
        <rFont val="Noto Sans CJK SC"/>
        <family val="2"/>
      </rPr>
      <t xml:space="preserve">万→</t>
    </r>
    <r>
      <rPr>
        <i val="true"/>
        <sz val="9"/>
        <rFont val="Arial"/>
        <family val="0"/>
        <charset val="1"/>
      </rPr>
      <t xml:space="preserve">24,158</t>
    </r>
    <r>
      <rPr>
        <i val="true"/>
        <sz val="9"/>
        <rFont val="Noto Sans CJK SC"/>
        <family val="2"/>
      </rPr>
      <t xml:space="preserve">枚へ</t>
    </r>
    <r>
      <rPr>
        <i val="true"/>
        <sz val="9"/>
        <rFont val="Arial"/>
        <family val="0"/>
        <charset val="1"/>
      </rPr>
      <t xml:space="preserve">(17</t>
    </r>
    <r>
      <rPr>
        <i val="true"/>
        <sz val="9"/>
        <rFont val="Noto Sans CJK SC"/>
        <family val="2"/>
      </rPr>
      <t xml:space="preserve">年ぶり最大スクイーズ</t>
    </r>
    <r>
      <rPr>
        <i val="true"/>
        <sz val="9"/>
        <rFont val="Arial"/>
        <family val="0"/>
        <charset val="1"/>
      </rPr>
      <t xml:space="preserve">)</t>
    </r>
  </si>
  <si>
    <t xml:space="preserve">2024-09</t>
  </si>
  <si>
    <r>
      <rPr>
        <i val="true"/>
        <sz val="9"/>
        <rFont val="Noto Sans CJK SC"/>
        <family val="2"/>
      </rPr>
      <t xml:space="preserve">ネットロングへ反転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約</t>
    </r>
    <r>
      <rPr>
        <i val="true"/>
        <sz val="9"/>
        <rFont val="Arial"/>
        <family val="0"/>
        <charset val="1"/>
      </rPr>
      <t xml:space="preserve">+41,000</t>
    </r>
    <r>
      <rPr>
        <i val="true"/>
        <sz val="9"/>
        <rFont val="Noto Sans CJK SC"/>
        <family val="2"/>
      </rPr>
      <t xml:space="preserve">枚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、ロング比率は十年来高水準</t>
    </r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</si>
  <si>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</si>
  <si>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</si>
  <si>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</si>
  <si>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</si>
  <si>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</si>
  <si>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</si>
  <si>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</si>
  <si>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</si>
  <si>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</si>
  <si>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</si>
  <si>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r>
      <rPr>
        <i val="true"/>
        <sz val="9"/>
        <rFont val="Noto Sans CJK SC"/>
        <family val="2"/>
      </rPr>
      <t xml:space="preserve">円安進行も投機はネットロング約</t>
    </r>
    <r>
      <rPr>
        <i val="true"/>
        <sz val="9"/>
        <rFont val="Arial"/>
        <family val="0"/>
        <charset val="1"/>
      </rPr>
      <t xml:space="preserve">+89,300</t>
    </r>
    <r>
      <rPr>
        <i val="true"/>
        <sz val="9"/>
        <rFont val="Noto Sans CJK SC"/>
        <family val="2"/>
      </rPr>
      <t xml:space="preserve">枚</t>
    </r>
    <r>
      <rPr>
        <i val="true"/>
        <sz val="9"/>
        <rFont val="Arial"/>
        <family val="0"/>
        <charset val="1"/>
      </rPr>
      <t xml:space="preserve">=</t>
    </r>
    <r>
      <rPr>
        <i val="true"/>
        <sz val="9"/>
        <rFont val="Noto Sans CJK SC"/>
        <family val="2"/>
      </rPr>
      <t xml:space="preserve">ショート極端は不点灯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無秩序の署名なし</t>
    </r>
    <r>
      <rPr>
        <i val="true"/>
        <sz val="9"/>
        <rFont val="Arial"/>
        <family val="0"/>
        <charset val="1"/>
      </rPr>
      <t xml:space="preserve">)</t>
    </r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</si>
  <si>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</si>
  <si>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</si>
  <si>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</si>
  <si>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</si>
  <si>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</si>
  <si>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</si>
  <si>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</si>
  <si>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</si>
  <si>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r>
      <rPr>
        <i val="true"/>
        <sz val="9"/>
        <rFont val="Arial"/>
        <family val="0"/>
        <charset val="1"/>
      </rPr>
      <t xml:space="preserve">160</t>
    </r>
    <r>
      <rPr>
        <i val="true"/>
        <sz val="9"/>
        <rFont val="Noto Sans CJK SC"/>
        <family val="2"/>
      </rPr>
      <t xml:space="preserve">突入。投機ショート積み直し</t>
    </r>
    <r>
      <rPr>
        <i val="true"/>
        <sz val="9"/>
        <rFont val="Arial"/>
        <family val="0"/>
        <charset val="1"/>
      </rPr>
      <t xml:space="preserve">(-16.6K→-41.4K)</t>
    </r>
    <r>
      <rPr>
        <i val="true"/>
        <sz val="9"/>
        <rFont val="Noto Sans CJK SC"/>
        <family val="2"/>
      </rPr>
      <t xml:space="preserve">。極端化は未確認</t>
    </r>
  </si>
  <si>
    <t xml:space="preserve">2026-04</t>
  </si>
  <si>
    <r>
      <rPr>
        <i val="true"/>
        <sz val="9"/>
        <rFont val="Arial"/>
        <family val="0"/>
        <charset val="1"/>
      </rPr>
      <t xml:space="preserve">4/30</t>
    </r>
    <r>
      <rPr>
        <i val="true"/>
        <sz val="9"/>
        <rFont val="Noto Sans CJK SC"/>
        <family val="2"/>
      </rPr>
      <t xml:space="preserve">介入</t>
    </r>
    <r>
      <rPr>
        <i val="true"/>
        <sz val="9"/>
        <rFont val="Arial"/>
        <family val="0"/>
        <charset val="1"/>
      </rPr>
      <t xml:space="preserve">:160</t>
    </r>
    <r>
      <rPr>
        <i val="true"/>
        <sz val="9"/>
        <rFont val="Noto Sans CJK SC"/>
        <family val="2"/>
      </rPr>
      <t xml:space="preserve">台後半→</t>
    </r>
    <r>
      <rPr>
        <i val="true"/>
        <sz val="9"/>
        <rFont val="Arial"/>
        <family val="0"/>
        <charset val="1"/>
      </rPr>
      <t xml:space="preserve">155</t>
    </r>
    <r>
      <rPr>
        <i val="true"/>
        <sz val="9"/>
        <rFont val="Noto Sans CJK SC"/>
        <family val="2"/>
      </rPr>
      <t xml:space="preserve">円台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約</t>
    </r>
    <r>
      <rPr>
        <i val="true"/>
        <sz val="9"/>
        <rFont val="Arial"/>
        <family val="0"/>
        <charset val="1"/>
      </rPr>
      <t xml:space="preserve">5</t>
    </r>
    <r>
      <rPr>
        <i val="true"/>
        <sz val="9"/>
        <rFont val="Noto Sans CJK SC"/>
        <family val="2"/>
      </rPr>
      <t xml:space="preserve">円</t>
    </r>
    <r>
      <rPr>
        <i val="true"/>
        <sz val="9"/>
        <rFont val="Arial"/>
        <family val="0"/>
        <charset val="1"/>
      </rPr>
      <t xml:space="preserve">)</t>
    </r>
    <r>
      <rPr>
        <i val="true"/>
        <sz val="9"/>
        <rFont val="Noto Sans CJK SC"/>
        <family val="2"/>
      </rPr>
      <t xml:space="preserve">。イラン</t>
    </r>
    <r>
      <rPr>
        <i val="true"/>
        <sz val="9"/>
        <rFont val="Arial"/>
        <family val="0"/>
        <charset val="1"/>
      </rPr>
      <t xml:space="preserve">/</t>
    </r>
    <r>
      <rPr>
        <i val="true"/>
        <sz val="9"/>
        <rFont val="Noto Sans CJK SC"/>
        <family val="2"/>
      </rPr>
      <t xml:space="preserve">原油起点のドル高</t>
    </r>
  </si>
  <si>
    <t xml:space="preserve">2026-05</t>
  </si>
  <si>
    <t xml:space="preserve">指標</t>
  </si>
  <si>
    <t xml:space="preserve">列</t>
  </si>
  <si>
    <t xml:space="preserve">点灯閾</t>
  </si>
  <si>
    <t xml:space="preserve">区分</t>
  </si>
  <si>
    <r>
      <rPr>
        <sz val="10"/>
        <rFont val="Noto Sans CJK SC"/>
        <family val="2"/>
      </rPr>
      <t xml:space="preserve">実現ボラ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年率</t>
    </r>
    <r>
      <rPr>
        <sz val="10"/>
        <rFont val="Arial"/>
        <family val="0"/>
        <charset val="1"/>
      </rPr>
      <t xml:space="preserve">,~20</t>
    </r>
    <r>
      <rPr>
        <sz val="10"/>
        <rFont val="Noto Sans CJK SC"/>
        <family val="2"/>
      </rPr>
      <t xml:space="preserve">日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</si>
  <si>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実現ボラ</t>
    </r>
    <r>
      <rPr>
        <sz val="10"/>
        <rFont val="Arial"/>
        <family val="0"/>
        <charset val="1"/>
      </rPr>
      <t xml:space="preserve">%</t>
    </r>
  </si>
  <si>
    <r>
      <rPr>
        <sz val="10"/>
        <rFont val="Arial"/>
        <family val="0"/>
        <charset val="1"/>
      </rPr>
      <t xml:space="preserve">12–15%=</t>
    </r>
    <r>
      <rPr>
        <sz val="10"/>
        <rFont val="Noto Sans CJK SC"/>
        <family val="2"/>
      </rPr>
      <t xml:space="preserve">警戒 </t>
    </r>
    <r>
      <rPr>
        <sz val="10"/>
        <rFont val="Arial"/>
        <family val="0"/>
        <charset val="1"/>
      </rPr>
      <t xml:space="preserve">/ 15–20%</t>
    </r>
    <r>
      <rPr>
        <sz val="10"/>
        <rFont val="Noto Sans CJK SC"/>
        <family val="2"/>
      </rPr>
      <t xml:space="preserve">超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無秩序 </t>
    </r>
    <r>
      <rPr>
        <sz val="10"/>
        <rFont val="Arial"/>
        <family val="0"/>
        <charset val="1"/>
      </rPr>
      <t xml:space="preserve">/ 25%</t>
    </r>
    <r>
      <rPr>
        <sz val="10"/>
        <rFont val="Noto Sans CJK SC"/>
        <family val="2"/>
      </rPr>
      <t xml:space="preserve">超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危機</t>
    </r>
  </si>
  <si>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列が自動判定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</si>
  <si>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日変動</t>
    </r>
  </si>
  <si>
    <r>
      <rPr>
        <sz val="10"/>
        <rFont val="Noto Sans CJK SC"/>
        <family val="2"/>
      </rPr>
      <t xml:space="preserve">最大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日変動</t>
    </r>
    <r>
      <rPr>
        <sz val="10"/>
        <rFont val="Arial"/>
        <family val="0"/>
        <charset val="1"/>
      </rPr>
      <t xml:space="preserve">% / 3σ</t>
    </r>
    <r>
      <rPr>
        <sz val="10"/>
        <rFont val="Noto Sans CJK SC"/>
        <family val="2"/>
      </rPr>
      <t xml:space="preserve">日数</t>
    </r>
  </si>
  <si>
    <r>
      <rPr>
        <sz val="10"/>
        <rFont val="Noto Sans CJK SC"/>
        <family val="2"/>
      </rPr>
      <t xml:space="preserve">平常</t>
    </r>
    <r>
      <rPr>
        <sz val="10"/>
        <rFont val="Arial"/>
        <family val="0"/>
        <charset val="1"/>
      </rPr>
      <t xml:space="preserve">±0.5–0.7%(1σ)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3σ≒±2%</t>
    </r>
    <r>
      <rPr>
        <sz val="10"/>
        <rFont val="Noto Sans CJK SC"/>
        <family val="2"/>
      </rPr>
      <t xml:space="preserve">以上の日が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日でもあれば点灯</t>
    </r>
  </si>
  <si>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列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日数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で計上</t>
    </r>
  </si>
  <si>
    <r>
      <rPr>
        <sz val="10"/>
        <rFont val="Arial"/>
        <family val="0"/>
        <charset val="1"/>
      </rPr>
      <t xml:space="preserve">XCCY</t>
    </r>
    <r>
      <rPr>
        <sz val="10"/>
        <rFont val="Noto Sans CJK SC"/>
        <family val="2"/>
      </rPr>
      <t xml:space="preserve">ベーシス</t>
    </r>
    <r>
      <rPr>
        <sz val="10"/>
        <rFont val="Arial"/>
        <family val="0"/>
        <charset val="1"/>
      </rPr>
      <t xml:space="preserve">3M</t>
    </r>
  </si>
  <si>
    <r>
      <rPr>
        <sz val="10"/>
        <rFont val="Noto Sans CJK SC"/>
        <family val="2"/>
      </rPr>
      <t xml:space="preserve">ベーシス</t>
    </r>
    <r>
      <rPr>
        <sz val="10"/>
        <rFont val="Arial"/>
        <family val="0"/>
        <charset val="1"/>
      </rPr>
      <t xml:space="preserve">3M(bp)</t>
    </r>
  </si>
  <si>
    <r>
      <rPr>
        <sz val="10"/>
        <rFont val="Arial"/>
        <family val="0"/>
        <charset val="1"/>
      </rPr>
      <t xml:space="preserve">-80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-150bp=</t>
    </r>
    <r>
      <rPr>
        <sz val="10"/>
        <rFont val="Noto Sans CJK SC"/>
        <family val="2"/>
      </rPr>
      <t xml:space="preserve">ストレス </t>
    </r>
    <r>
      <rPr>
        <sz val="10"/>
        <rFont val="Arial"/>
        <family val="0"/>
        <charset val="1"/>
      </rPr>
      <t xml:space="preserve">/ -200bp</t>
    </r>
    <r>
      <rPr>
        <sz val="10"/>
        <rFont val="Noto Sans CJK SC"/>
        <family val="2"/>
      </rPr>
      <t xml:space="preserve">超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危機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負値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</si>
  <si>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G</t>
    </r>
    <r>
      <rPr>
        <sz val="10"/>
        <rFont val="Noto Sans CJK SC"/>
        <family val="2"/>
      </rPr>
      <t xml:space="preserve">列が自動判定</t>
    </r>
  </si>
  <si>
    <r>
      <rPr>
        <sz val="10"/>
        <rFont val="Noto Sans CJK SC"/>
        <family val="2"/>
      </rPr>
      <t xml:space="preserve">板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ビッドアスク</t>
    </r>
  </si>
  <si>
    <r>
      <rPr>
        <sz val="10"/>
        <rFont val="Noto Sans CJK SC"/>
        <family val="2"/>
      </rPr>
      <t xml:space="preserve">板ストレス</t>
    </r>
    <r>
      <rPr>
        <sz val="10"/>
        <rFont val="Arial"/>
        <family val="0"/>
        <charset val="1"/>
      </rPr>
      <t xml:space="preserve">(1)</t>
    </r>
  </si>
  <si>
    <r>
      <rPr>
        <sz val="10"/>
        <rFont val="Noto Sans CJK SC"/>
        <family val="2"/>
      </rPr>
      <t xml:space="preserve">平常はサブ</t>
    </r>
    <r>
      <rPr>
        <sz val="10"/>
        <rFont val="Arial"/>
        <family val="0"/>
        <charset val="1"/>
      </rPr>
      <t xml:space="preserve">pip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0.5pip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2.5pip</t>
    </r>
    <r>
      <rPr>
        <sz val="10"/>
        <rFont val="Noto Sans CJK SC"/>
        <family val="2"/>
      </rPr>
      <t xml:space="preserve">〜や約定なきギャップで</t>
    </r>
    <r>
      <rPr>
        <sz val="10"/>
        <rFont val="Arial"/>
        <family val="0"/>
        <charset val="1"/>
      </rPr>
      <t xml:space="preserve">=1</t>
    </r>
  </si>
  <si>
    <r>
      <rPr>
        <sz val="10"/>
        <rFont val="Noto Sans CJK SC"/>
        <family val="2"/>
      </rPr>
      <t xml:space="preserve">手入力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で点灯</t>
    </r>
  </si>
  <si>
    <r>
      <rPr>
        <sz val="10"/>
        <rFont val="Arial"/>
        <family val="0"/>
        <charset val="1"/>
      </rPr>
      <t xml:space="preserve">CME</t>
    </r>
    <r>
      <rPr>
        <sz val="10"/>
        <rFont val="Noto Sans CJK SC"/>
        <family val="2"/>
      </rPr>
      <t xml:space="preserve">円ネット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投機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</si>
  <si>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CME</t>
    </r>
    <r>
      <rPr>
        <sz val="10"/>
        <rFont val="Noto Sans CJK SC"/>
        <family val="2"/>
      </rPr>
      <t xml:space="preserve">円ネット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枚</t>
    </r>
    <r>
      <rPr>
        <sz val="10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</si>
  <si>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ネットショート≤</t>
    </r>
    <r>
      <rPr>
        <sz val="10"/>
        <rFont val="Arial"/>
        <family val="0"/>
        <charset val="1"/>
      </rPr>
      <t xml:space="preserve">-100,000</t>
    </r>
    <r>
      <rPr>
        <sz val="10"/>
        <rFont val="Noto Sans CJK SC"/>
        <family val="2"/>
      </rPr>
      <t xml:space="preserve">枚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極端</t>
    </r>
    <r>
      <rPr>
        <sz val="10"/>
        <rFont val="Arial"/>
        <family val="0"/>
        <charset val="1"/>
      </rPr>
      <t xml:space="preserve">(1</t>
    </r>
    <r>
      <rPr>
        <sz val="10"/>
        <rFont val="Noto Sans CJK SC"/>
        <family val="2"/>
      </rPr>
      <t xml:space="preserve">枚</t>
    </r>
    <r>
      <rPr>
        <sz val="10"/>
        <rFont val="Arial"/>
        <family val="0"/>
        <charset val="1"/>
      </rPr>
      <t xml:space="preserve">¥1,250</t>
    </r>
    <r>
      <rPr>
        <sz val="10"/>
        <rFont val="Noto Sans CJK SC"/>
        <family val="2"/>
      </rPr>
      <t xml:space="preserve">万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</si>
  <si>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J</t>
    </r>
    <r>
      <rPr>
        <sz val="10"/>
        <rFont val="Noto Sans CJK SC"/>
        <family val="2"/>
      </rPr>
      <t xml:space="preserve">列が自動判定。ロング極端は参考表示で本数に非算入</t>
    </r>
  </si>
  <si>
    <r>
      <rPr>
        <sz val="10"/>
        <rFont val="Noto Sans CJK SC"/>
        <family val="2"/>
      </rPr>
      <t xml:space="preserve">上記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カテゴリのうち何本灯ったか</t>
    </r>
    <r>
      <rPr>
        <sz val="10"/>
        <rFont val="Arial"/>
        <family val="0"/>
        <charset val="1"/>
      </rPr>
      <t xml:space="preserve">(0</t>
    </r>
    <r>
      <rPr>
        <sz val="10"/>
        <rFont val="Noto Sans CJK SC"/>
        <family val="2"/>
      </rPr>
      <t xml:space="preserve">〜</t>
    </r>
    <r>
      <rPr>
        <sz val="10"/>
        <rFont val="Arial"/>
        <family val="0"/>
        <charset val="1"/>
      </rPr>
      <t xml:space="preserve">5)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</si>
  <si>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列。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本以上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束点灯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トリガー級</t>
    </r>
  </si>
  <si>
    <t xml:space="preserve">読み筋</t>
  </si>
  <si>
    <r>
      <rPr>
        <sz val="10"/>
        <rFont val="Noto Sans CJK SC"/>
        <family val="2"/>
      </rPr>
      <t xml:space="preserve">単独点灯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特にポジションのみ</t>
    </r>
    <r>
      <rPr>
        <sz val="10"/>
        <rFont val="Arial"/>
        <family val="0"/>
        <charset val="1"/>
      </rPr>
      <t xml:space="preserve">)=</t>
    </r>
    <r>
      <rPr>
        <sz val="10"/>
        <rFont val="Noto Sans CJK SC"/>
        <family val="2"/>
      </rPr>
      <t xml:space="preserve">装填された状態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ウォッチ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本以上の共点灯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均すべき無秩序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トリガー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。</t>
    </r>
  </si>
  <si>
    <t xml:space="preserve">空欄の意味</t>
  </si>
  <si>
    <r>
      <rPr>
        <sz val="10"/>
        <rFont val="Noto Sans CJK SC"/>
        <family val="2"/>
      </rPr>
      <t xml:space="preserve">数値未入力。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や区分空白を『平常確定』と誤読しないこと。出所のあるセルのみ記入済み。</t>
    </r>
  </si>
  <si>
    <t xml:space="preserve">推奨データ源</t>
  </si>
  <si>
    <r>
      <rPr>
        <b val="true"/>
        <sz val="11"/>
        <color rgb="FFFFFFFF"/>
        <rFont val="Noto Sans CJK SC"/>
        <family val="2"/>
      </rPr>
      <t xml:space="preserve">取得方法</t>
    </r>
    <r>
      <rPr>
        <b val="true"/>
        <sz val="11"/>
        <color rgb="FFFFFFFF"/>
        <rFont val="Arial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注意</t>
    </r>
  </si>
  <si>
    <r>
      <rPr>
        <sz val="10"/>
        <rFont val="Arial"/>
        <family val="0"/>
        <charset val="1"/>
      </rPr>
      <t xml:space="preserve">Bloomberg/Refinitiv </t>
    </r>
    <r>
      <rPr>
        <sz val="10"/>
        <rFont val="Noto Sans CJK SC"/>
        <family val="2"/>
      </rPr>
      <t xml:space="preserve">終値、または自前計算</t>
    </r>
  </si>
  <si>
    <r>
      <rPr>
        <sz val="10"/>
        <rFont val="Arial"/>
        <family val="0"/>
        <charset val="1"/>
      </rPr>
      <t xml:space="preserve">USDJPY</t>
    </r>
    <r>
      <rPr>
        <sz val="10"/>
        <rFont val="Noto Sans CJK SC"/>
        <family val="2"/>
      </rPr>
      <t xml:space="preserve">日次対数収益率の標準偏差</t>
    </r>
    <r>
      <rPr>
        <sz val="10"/>
        <rFont val="Arial"/>
        <family val="0"/>
        <charset val="1"/>
      </rPr>
      <t xml:space="preserve">×√252</t>
    </r>
    <r>
      <rPr>
        <sz val="10"/>
        <rFont val="Noto Sans CJK SC"/>
        <family val="2"/>
      </rPr>
      <t xml:space="preserve">。窓</t>
    </r>
    <r>
      <rPr>
        <sz val="10"/>
        <rFont val="Arial"/>
        <family val="0"/>
        <charset val="1"/>
      </rPr>
      <t xml:space="preserve">(20</t>
    </r>
    <r>
      <rPr>
        <sz val="10"/>
        <rFont val="Noto Sans CJK SC"/>
        <family val="2"/>
      </rPr>
      <t xml:space="preserve">日</t>
    </r>
    <r>
      <rPr>
        <sz val="10"/>
        <rFont val="Arial"/>
        <family val="0"/>
        <charset val="1"/>
      </rPr>
      <t xml:space="preserve">/1M)</t>
    </r>
    <r>
      <rPr>
        <sz val="10"/>
        <rFont val="Noto Sans CJK SC"/>
        <family val="2"/>
      </rPr>
      <t xml:space="preserve">を統一。</t>
    </r>
    <r>
      <rPr>
        <sz val="10"/>
        <rFont val="Arial"/>
        <family val="0"/>
        <charset val="1"/>
      </rPr>
      <t xml:space="preserve">FRED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DEXJPUS</t>
    </r>
    <r>
      <rPr>
        <sz val="10"/>
        <rFont val="Noto Sans CJK SC"/>
        <family val="2"/>
      </rPr>
      <t xml:space="preserve">でも近似可</t>
    </r>
  </si>
  <si>
    <t xml:space="preserve">同上日次終値</t>
  </si>
  <si>
    <r>
      <rPr>
        <sz val="10"/>
        <rFont val="Noto Sans CJK SC"/>
        <family val="2"/>
      </rPr>
      <t xml:space="preserve">月内の最大</t>
    </r>
    <r>
      <rPr>
        <sz val="10"/>
        <rFont val="Arial"/>
        <family val="0"/>
        <charset val="1"/>
      </rPr>
      <t xml:space="preserve">|</t>
    </r>
    <r>
      <rPr>
        <sz val="10"/>
        <rFont val="Noto Sans CJK SC"/>
        <family val="2"/>
      </rPr>
      <t xml:space="preserve">日次</t>
    </r>
    <r>
      <rPr>
        <sz val="10"/>
        <rFont val="Arial"/>
        <family val="0"/>
        <charset val="1"/>
      </rPr>
      <t xml:space="preserve">%|</t>
    </r>
    <r>
      <rPr>
        <sz val="10"/>
        <rFont val="Noto Sans CJK SC"/>
        <family val="2"/>
      </rPr>
      <t xml:space="preserve">と、</t>
    </r>
    <r>
      <rPr>
        <sz val="10"/>
        <rFont val="Arial"/>
        <family val="0"/>
        <charset val="1"/>
      </rPr>
      <t xml:space="preserve">|</t>
    </r>
    <r>
      <rPr>
        <sz val="10"/>
        <rFont val="Noto Sans CJK SC"/>
        <family val="2"/>
      </rPr>
      <t xml:space="preserve">収益率</t>
    </r>
    <r>
      <rPr>
        <sz val="10"/>
        <rFont val="Arial"/>
        <family val="0"/>
        <charset val="1"/>
      </rPr>
      <t xml:space="preserve">|≥3×</t>
    </r>
    <r>
      <rPr>
        <sz val="10"/>
        <rFont val="Noto Sans CJK SC"/>
        <family val="2"/>
      </rPr>
      <t xml:space="preserve">ローリング</t>
    </r>
    <r>
      <rPr>
        <sz val="10"/>
        <rFont val="Arial"/>
        <family val="0"/>
        <charset val="1"/>
      </rPr>
      <t xml:space="preserve">σ</t>
    </r>
    <r>
      <rPr>
        <sz val="10"/>
        <rFont val="Noto Sans CJK SC"/>
        <family val="2"/>
      </rPr>
      <t xml:space="preserve">の日数を計上</t>
    </r>
  </si>
  <si>
    <r>
      <rPr>
        <sz val="10"/>
        <rFont val="Arial"/>
        <family val="0"/>
        <charset val="1"/>
      </rPr>
      <t xml:space="preserve">Bloomberg(JYBS3 </t>
    </r>
    <r>
      <rPr>
        <sz val="10"/>
        <rFont val="Noto Sans CJK SC"/>
        <family val="2"/>
      </rPr>
      <t xml:space="preserve">など</t>
    </r>
    <r>
      <rPr>
        <sz val="10"/>
        <rFont val="Arial"/>
        <family val="0"/>
        <charset val="1"/>
      </rPr>
      <t xml:space="preserve">) / BIS / NY Fed FXQ</t>
    </r>
  </si>
  <si>
    <r>
      <rPr>
        <sz val="10"/>
        <rFont val="Arial"/>
        <family val="0"/>
        <charset val="1"/>
      </rPr>
      <t xml:space="preserve">2022</t>
    </r>
    <r>
      <rPr>
        <sz val="10"/>
        <rFont val="Noto Sans CJK SC"/>
        <family val="2"/>
      </rPr>
      <t xml:space="preserve">年以降は</t>
    </r>
    <r>
      <rPr>
        <sz val="10"/>
        <rFont val="Arial"/>
        <family val="0"/>
        <charset val="1"/>
      </rPr>
      <t xml:space="preserve">Libor</t>
    </r>
    <r>
      <rPr>
        <sz val="10"/>
        <rFont val="Noto Sans CJK SC"/>
        <family val="2"/>
      </rPr>
      <t xml:space="preserve">廃止で</t>
    </r>
    <r>
      <rPr>
        <sz val="10"/>
        <rFont val="Arial"/>
        <family val="0"/>
        <charset val="1"/>
      </rPr>
      <t xml:space="preserve">SOFR/OIS</t>
    </r>
    <r>
      <rPr>
        <sz val="10"/>
        <rFont val="Noto Sans CJK SC"/>
        <family val="2"/>
      </rPr>
      <t xml:space="preserve">ベースに注意。符号は負</t>
    </r>
    <r>
      <rPr>
        <sz val="10"/>
        <rFont val="Arial"/>
        <family val="0"/>
        <charset val="1"/>
      </rPr>
      <t xml:space="preserve">=</t>
    </r>
    <r>
      <rPr>
        <sz val="10"/>
        <rFont val="Noto Sans CJK SC"/>
        <family val="2"/>
      </rPr>
      <t xml:space="preserve">ドル調達プレミアム</t>
    </r>
  </si>
  <si>
    <r>
      <rPr>
        <sz val="10"/>
        <rFont val="Arial"/>
        <family val="0"/>
        <charset val="1"/>
      </rPr>
      <t xml:space="preserve">EBS/Refinitiv </t>
    </r>
    <r>
      <rPr>
        <sz val="10"/>
        <rFont val="Noto Sans CJK SC"/>
        <family val="2"/>
      </rPr>
      <t xml:space="preserve">のスプレッド・約定統計</t>
    </r>
  </si>
  <si>
    <r>
      <rPr>
        <sz val="10"/>
        <rFont val="Arial"/>
        <family val="0"/>
        <charset val="1"/>
      </rPr>
      <t xml:space="preserve">retail</t>
    </r>
    <r>
      <rPr>
        <sz val="10"/>
        <rFont val="Noto Sans CJK SC"/>
        <family val="2"/>
      </rPr>
      <t xml:space="preserve">無料系列なし。代理</t>
    </r>
    <r>
      <rPr>
        <sz val="10"/>
        <rFont val="Arial"/>
        <family val="0"/>
        <charset val="1"/>
      </rPr>
      <t xml:space="preserve">:</t>
    </r>
    <r>
      <rPr>
        <sz val="10"/>
        <rFont val="Noto Sans CJK SC"/>
        <family val="2"/>
      </rPr>
      <t xml:space="preserve">日中レンジ急拡大やギャップで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を手入力</t>
    </r>
  </si>
  <si>
    <r>
      <rPr>
        <sz val="10"/>
        <rFont val="Arial"/>
        <family val="0"/>
        <charset val="1"/>
      </rPr>
      <t xml:space="preserve">CFTC COT(</t>
    </r>
    <r>
      <rPr>
        <sz val="10"/>
        <rFont val="Noto Sans CJK SC"/>
        <family val="2"/>
      </rPr>
      <t xml:space="preserve">無料・週次・全史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</si>
  <si>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Legacy=Non-Commercial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TFF=Leveraged Funds</t>
    </r>
    <r>
      <rPr>
        <sz val="10"/>
        <rFont val="Noto Sans CJK SC"/>
        <family val="2"/>
      </rPr>
      <t xml:space="preserve">。本表は基本</t>
    </r>
    <r>
      <rPr>
        <sz val="10"/>
        <rFont val="Arial"/>
        <family val="0"/>
        <charset val="1"/>
      </rPr>
      <t xml:space="preserve">Non-Commercial</t>
    </r>
    <r>
      <rPr>
        <sz val="10"/>
        <rFont val="Noto Sans CJK SC"/>
        <family val="2"/>
      </rPr>
      <t xml:space="preserve">。月内は最終週</t>
    </r>
    <r>
      <rPr>
        <sz val="10"/>
        <rFont val="Arial"/>
        <family val="0"/>
        <charset val="1"/>
      </rPr>
      <t xml:space="preserve">or</t>
    </r>
    <r>
      <rPr>
        <sz val="10"/>
        <rFont val="Noto Sans CJK SC"/>
        <family val="2"/>
      </rPr>
      <t xml:space="preserve">月中平均で統一</t>
    </r>
  </si>
  <si>
    <r>
      <rPr>
        <sz val="10"/>
        <rFont val="Arial"/>
        <family val="0"/>
        <charset val="1"/>
      </rPr>
      <t xml:space="preserve">CFTC COT</t>
    </r>
    <r>
      <rPr>
        <sz val="10"/>
        <rFont val="Noto Sans CJK SC"/>
        <family val="2"/>
      </rPr>
      <t xml:space="preserve">直リンク</t>
    </r>
  </si>
  <si>
    <t xml:space="preserve">https://www.cftc.gov/dea/futures/financial_lf.htm</t>
  </si>
  <si>
    <r>
      <rPr>
        <sz val="10"/>
        <rFont val="Arial"/>
        <family val="0"/>
        <charset val="1"/>
      </rPr>
      <t xml:space="preserve">Financial Futures(TFF) / Legacy </t>
    </r>
    <r>
      <rPr>
        <sz val="10"/>
        <rFont val="Noto Sans CJK SC"/>
        <family val="2"/>
      </rPr>
      <t xml:space="preserve">の各週次。</t>
    </r>
    <r>
      <rPr>
        <sz val="10"/>
        <rFont val="Arial"/>
        <family val="0"/>
        <charset val="1"/>
      </rPr>
      <t xml:space="preserve">JPY=Contracts of 12,500,000 yen</t>
    </r>
  </si>
  <si>
    <t xml:space="preserve">FRED USDJPY</t>
  </si>
  <si>
    <t xml:space="preserve">https://fred.stlouisfed.org/series/DEXJPUS</t>
  </si>
  <si>
    <r>
      <rPr>
        <sz val="10"/>
        <rFont val="Noto Sans CJK SC"/>
        <family val="2"/>
      </rPr>
      <t xml:space="preserve">日次。実現ボラ・</t>
    </r>
    <r>
      <rPr>
        <sz val="10"/>
        <rFont val="Arial"/>
        <family val="0"/>
        <charset val="1"/>
      </rPr>
      <t xml:space="preserve">σ</t>
    </r>
    <r>
      <rPr>
        <sz val="10"/>
        <rFont val="Noto Sans CJK SC"/>
        <family val="2"/>
      </rPr>
      <t xml:space="preserve">計算の無料代替</t>
    </r>
  </si>
  <si>
    <t xml:space="preserve">全自動化の申し出</t>
  </si>
  <si>
    <r>
      <rPr>
        <sz val="10"/>
        <rFont val="Arial"/>
        <family val="0"/>
        <charset val="1"/>
      </rPr>
      <t xml:space="preserve">CFTC</t>
    </r>
    <r>
      <rPr>
        <sz val="10"/>
        <rFont val="Noto Sans CJK SC"/>
        <family val="2"/>
      </rPr>
      <t xml:space="preserve">の</t>
    </r>
    <r>
      <rPr>
        <sz val="10"/>
        <rFont val="Arial"/>
        <family val="0"/>
        <charset val="1"/>
      </rPr>
      <t xml:space="preserve">COT</t>
    </r>
    <r>
      <rPr>
        <sz val="10"/>
        <rFont val="Noto Sans CJK SC"/>
        <family val="2"/>
      </rPr>
      <t xml:space="preserve">・</t>
    </r>
    <r>
      <rPr>
        <sz val="10"/>
        <rFont val="Arial"/>
        <family val="0"/>
        <charset val="1"/>
      </rPr>
      <t xml:space="preserve">CSV(</t>
    </r>
    <r>
      <rPr>
        <sz val="10"/>
        <rFont val="Noto Sans CJK SC"/>
        <family val="2"/>
      </rPr>
      <t xml:space="preserve">または日次</t>
    </r>
    <r>
      <rPr>
        <sz val="10"/>
        <rFont val="Arial"/>
        <family val="0"/>
        <charset val="1"/>
      </rPr>
      <t xml:space="preserve">USDJPY/</t>
    </r>
    <r>
      <rPr>
        <sz val="10"/>
        <rFont val="Noto Sans CJK SC"/>
        <family val="2"/>
      </rPr>
      <t xml:space="preserve">ベーシス系列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を貼れば、</t>
    </r>
    <r>
      <rPr>
        <sz val="10"/>
        <rFont val="Arial"/>
        <family val="0"/>
        <charset val="1"/>
      </rPr>
      <t xml:space="preserve">122</t>
    </r>
    <r>
      <rPr>
        <sz val="10"/>
        <rFont val="Noto Sans CJK SC"/>
        <family val="2"/>
      </rPr>
      <t xml:space="preserve">カ月分の数値・区分・同時点灯本数を当方で機械的に埋めて返します。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</si>
</sst>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i val="true"/>
      <sz val="9"/>
      <name val="Noto Sans CJK SC"/>
      <family val="2"/>
    </font>
    <font>
      <sz val="10"/>
      <name val="Arial"/>
      <family val="2"/>
    </font>
    <font>
      <sz val="10"/>
      <name val="Noto Sans CJK SC"/>
      <family val="2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7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9"/>
    <col collapsed="false" customWidth="true" hidden="false" outlineLevel="0" max="12" min="12" style="0" width="60"/>
  </cols>
  <sheetData>
    <row r="1" customFormat="false" ht="3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3" t="s">
        <v>12</v>
      </c>
      <c r="C2" s="4" t="str">
        <f aca="false">IF(B2="","",IF(B2&gt;=25,"危機",IF(B2&gt;=15,"無秩序",IF(B2&gt;=12,"警戒",""))))</f>
        <v/>
      </c>
      <c r="E2" s="5"/>
      <c r="G2" s="4" t="str">
        <f aca="false">IF(F2="","",IF(F2&lt;=-200,"危機",IF(F2&lt;=-80,"ストレス","")))</f>
        <v/>
      </c>
      <c r="J2" s="4" t="str">
        <f aca="false">IF(I2="","",IF(I2&lt;=-100000,"✓ショート極端",IF(I2&gt;=100000,"(ロング極端)","")))</f>
        <v/>
      </c>
      <c r="K2" s="6" t="str">
        <f aca="false">IF(COUNTA(B2,D2,E2,F2,H2,I2)=0,"",(IF(C2&lt;&gt;"",1,0))+(IF(AND(E2&lt;&gt;"",N(E2)&gt;=1),1,0))+(IF(G2&lt;&gt;"",1,0))+(IF(H2=1,1,0))+(IF(LEFT(J2,1)="✓",1,0)))</f>
        <v/>
      </c>
    </row>
    <row r="3" customFormat="false" ht="15" hidden="false" customHeight="false" outlineLevel="0" collapsed="false">
      <c r="A3" s="3" t="s">
        <v>13</v>
      </c>
      <c r="C3" s="4" t="str">
        <f aca="false">IF(B3="","",IF(B3&gt;=25,"危機",IF(B3&gt;=15,"無秩序",IF(B3&gt;=12,"警戒",""))))</f>
        <v/>
      </c>
      <c r="E3" s="5"/>
      <c r="G3" s="4" t="str">
        <f aca="false">IF(F3="","",IF(F3&lt;=-200,"危機",IF(F3&lt;=-80,"ストレス","")))</f>
        <v/>
      </c>
      <c r="J3" s="4" t="str">
        <f aca="false">IF(I3="","",IF(I3&lt;=-100000,"✓ショート極端",IF(I3&gt;=100000,"(ロング極端)","")))</f>
        <v/>
      </c>
      <c r="K3" s="6" t="str">
        <f aca="false">IF(COUNTA(B3,D3,E3,F3,H3,I3)=0,"",(IF(C3&lt;&gt;"",1,0))+(IF(AND(E3&lt;&gt;"",N(E3)&gt;=1),1,0))+(IF(G3&lt;&gt;"",1,0))+(IF(H3=1,1,0))+(IF(LEFT(J3,1)="✓",1,0)))</f>
        <v/>
      </c>
    </row>
    <row r="4" customFormat="false" ht="15" hidden="false" customHeight="false" outlineLevel="0" collapsed="false">
      <c r="A4" s="3" t="s">
        <v>14</v>
      </c>
      <c r="C4" s="4" t="str">
        <f aca="false">IF(B4="","",IF(B4&gt;=25,"危機",IF(B4&gt;=15,"無秩序",IF(B4&gt;=12,"警戒",""))))</f>
        <v/>
      </c>
      <c r="D4" s="7" t="n">
        <v>-3.7</v>
      </c>
      <c r="E4" s="8" t="n">
        <v>1</v>
      </c>
      <c r="G4" s="4" t="str">
        <f aca="false">IF(F4="","",IF(F4&lt;=-200,"危機",IF(F4&lt;=-80,"ストレス","")))</f>
        <v/>
      </c>
      <c r="J4" s="4" t="str">
        <f aca="false">IF(I4="","",IF(I4&lt;=-100000,"✓ショート極端",IF(I4&gt;=100000,"(ロング極端)","")))</f>
        <v/>
      </c>
      <c r="K4" s="6" t="n">
        <f aca="false">IF(COUNTA(B4,D4,E4,F4,H4,I4)=0,"",(IF(C4&lt;&gt;"",1,0))+(IF(AND(E4&lt;&gt;"",N(E4)&gt;=1),1,0))+(IF(G4&lt;&gt;"",1,0))+(IF(H4=1,1,0))+(IF(LEFT(J4,1)="✓",1,0)))</f>
        <v>1</v>
      </c>
      <c r="L4" s="9" t="s">
        <v>15</v>
      </c>
    </row>
    <row r="5" customFormat="false" ht="15" hidden="false" customHeight="false" outlineLevel="0" collapsed="false">
      <c r="A5" s="3" t="s">
        <v>16</v>
      </c>
      <c r="C5" s="4" t="str">
        <f aca="false">IF(B5="","",IF(B5&gt;=25,"危機",IF(B5&gt;=15,"無秩序",IF(B5&gt;=12,"警戒",""))))</f>
        <v/>
      </c>
      <c r="E5" s="5"/>
      <c r="G5" s="4" t="str">
        <f aca="false">IF(F5="","",IF(F5&lt;=-200,"危機",IF(F5&lt;=-80,"ストレス","")))</f>
        <v/>
      </c>
      <c r="J5" s="4" t="str">
        <f aca="false">IF(I5="","",IF(I5&lt;=-100000,"✓ショート極端",IF(I5&gt;=100000,"(ロング極端)","")))</f>
        <v/>
      </c>
      <c r="K5" s="6" t="str">
        <f aca="false">IF(COUNTA(B5,D5,E5,F5,H5,I5)=0,"",(IF(C5&lt;&gt;"",1,0))+(IF(AND(E5&lt;&gt;"",N(E5)&gt;=1),1,0))+(IF(G5&lt;&gt;"",1,0))+(IF(H5=1,1,0))+(IF(LEFT(J5,1)="✓",1,0)))</f>
        <v/>
      </c>
    </row>
    <row r="6" customFormat="false" ht="15" hidden="false" customHeight="false" outlineLevel="0" collapsed="false">
      <c r="A6" s="3" t="s">
        <v>17</v>
      </c>
      <c r="C6" s="4" t="str">
        <f aca="false">IF(B6="","",IF(B6&gt;=25,"危機",IF(B6&gt;=15,"無秩序",IF(B6&gt;=12,"警戒",""))))</f>
        <v/>
      </c>
      <c r="E6" s="5"/>
      <c r="G6" s="4" t="str">
        <f aca="false">IF(F6="","",IF(F6&lt;=-200,"危機",IF(F6&lt;=-80,"ストレス","")))</f>
        <v/>
      </c>
      <c r="J6" s="4" t="str">
        <f aca="false">IF(I6="","",IF(I6&lt;=-100000,"✓ショート極端",IF(I6&gt;=100000,"(ロング極端)","")))</f>
        <v/>
      </c>
      <c r="K6" s="6" t="str">
        <f aca="false">IF(COUNTA(B6,D6,E6,F6,H6,I6)=0,"",(IF(C6&lt;&gt;"",1,0))+(IF(AND(E6&lt;&gt;"",N(E6)&gt;=1),1,0))+(IF(G6&lt;&gt;"",1,0))+(IF(H6=1,1,0))+(IF(LEFT(J6,1)="✓",1,0)))</f>
        <v/>
      </c>
    </row>
    <row r="7" customFormat="false" ht="15" hidden="false" customHeight="false" outlineLevel="0" collapsed="false">
      <c r="A7" s="3" t="s">
        <v>18</v>
      </c>
      <c r="C7" s="4" t="str">
        <f aca="false">IF(B7="","",IF(B7&gt;=25,"危機",IF(B7&gt;=15,"無秩序",IF(B7&gt;=12,"警戒",""))))</f>
        <v/>
      </c>
      <c r="E7" s="5"/>
      <c r="G7" s="4" t="str">
        <f aca="false">IF(F7="","",IF(F7&lt;=-200,"危機",IF(F7&lt;=-80,"ストレス","")))</f>
        <v/>
      </c>
      <c r="J7" s="4" t="str">
        <f aca="false">IF(I7="","",IF(I7&lt;=-100000,"✓ショート極端",IF(I7&gt;=100000,"(ロング極端)","")))</f>
        <v/>
      </c>
      <c r="K7" s="6" t="str">
        <f aca="false">IF(COUNTA(B7,D7,E7,F7,H7,I7)=0,"",(IF(C7&lt;&gt;"",1,0))+(IF(AND(E7&lt;&gt;"",N(E7)&gt;=1),1,0))+(IF(G7&lt;&gt;"",1,0))+(IF(H7=1,1,0))+(IF(LEFT(J7,1)="✓",1,0)))</f>
        <v/>
      </c>
      <c r="L7" s="10" t="s">
        <v>19</v>
      </c>
    </row>
    <row r="8" customFormat="false" ht="15" hidden="false" customHeight="false" outlineLevel="0" collapsed="false">
      <c r="A8" s="3" t="s">
        <v>20</v>
      </c>
      <c r="C8" s="4" t="str">
        <f aca="false">IF(B8="","",IF(B8&gt;=25,"危機",IF(B8&gt;=15,"無秩序",IF(B8&gt;=12,"警戒",""))))</f>
        <v/>
      </c>
      <c r="E8" s="5"/>
      <c r="G8" s="4" t="str">
        <f aca="false">IF(F8="","",IF(F8&lt;=-200,"危機",IF(F8&lt;=-80,"ストレス","")))</f>
        <v/>
      </c>
      <c r="J8" s="4" t="str">
        <f aca="false">IF(I8="","",IF(I8&lt;=-100000,"✓ショート極端",IF(I8&gt;=100000,"(ロング極端)","")))</f>
        <v/>
      </c>
      <c r="K8" s="6" t="str">
        <f aca="false">IF(COUNTA(B8,D8,E8,F8,H8,I8)=0,"",(IF(C8&lt;&gt;"",1,0))+(IF(AND(E8&lt;&gt;"",N(E8)&gt;=1),1,0))+(IF(G8&lt;&gt;"",1,0))+(IF(H8=1,1,0))+(IF(LEFT(J8,1)="✓",1,0)))</f>
        <v/>
      </c>
    </row>
    <row r="9" customFormat="false" ht="15" hidden="false" customHeight="false" outlineLevel="0" collapsed="false">
      <c r="A9" s="3" t="s">
        <v>21</v>
      </c>
      <c r="C9" s="4" t="str">
        <f aca="false">IF(B9="","",IF(B9&gt;=25,"危機",IF(B9&gt;=15,"無秩序",IF(B9&gt;=12,"警戒",""))))</f>
        <v/>
      </c>
      <c r="D9" s="7" t="n">
        <v>-2</v>
      </c>
      <c r="E9" s="8" t="n">
        <v>1</v>
      </c>
      <c r="G9" s="4" t="str">
        <f aca="false">IF(F9="","",IF(F9&lt;=-200,"危機",IF(F9&lt;=-80,"ストレス","")))</f>
        <v/>
      </c>
      <c r="J9" s="4" t="str">
        <f aca="false">IF(I9="","",IF(I9&lt;=-100000,"✓ショート極端",IF(I9&gt;=100000,"(ロング極端)","")))</f>
        <v/>
      </c>
      <c r="K9" s="6" t="n">
        <f aca="false">IF(COUNTA(B9,D9,E9,F9,H9,I9)=0,"",(IF(C9&lt;&gt;"",1,0))+(IF(AND(E9&lt;&gt;"",N(E9)&gt;=1),1,0))+(IF(G9&lt;&gt;"",1,0))+(IF(H9=1,1,0))+(IF(LEFT(J9,1)="✓",1,0)))</f>
        <v>1</v>
      </c>
      <c r="L9" s="10" t="s">
        <v>22</v>
      </c>
    </row>
    <row r="10" customFormat="false" ht="15" hidden="false" customHeight="false" outlineLevel="0" collapsed="false">
      <c r="A10" s="3" t="s">
        <v>23</v>
      </c>
      <c r="C10" s="4" t="str">
        <f aca="false">IF(B10="","",IF(B10&gt;=25,"危機",IF(B10&gt;=15,"無秩序",IF(B10&gt;=12,"警戒",""))))</f>
        <v/>
      </c>
      <c r="E10" s="5"/>
      <c r="G10" s="4" t="str">
        <f aca="false">IF(F10="","",IF(F10&lt;=-200,"危機",IF(F10&lt;=-80,"ストレス","")))</f>
        <v/>
      </c>
      <c r="J10" s="4" t="str">
        <f aca="false">IF(I10="","",IF(I10&lt;=-100000,"✓ショート極端",IF(I10&gt;=100000,"(ロング極端)","")))</f>
        <v/>
      </c>
      <c r="K10" s="6" t="str">
        <f aca="false">IF(COUNTA(B10,D10,E10,F10,H10,I10)=0,"",(IF(C10&lt;&gt;"",1,0))+(IF(AND(E10&lt;&gt;"",N(E10)&gt;=1),1,0))+(IF(G10&lt;&gt;"",1,0))+(IF(H10=1,1,0))+(IF(LEFT(J10,1)="✓",1,0)))</f>
        <v/>
      </c>
    </row>
    <row r="11" customFormat="false" ht="15" hidden="false" customHeight="false" outlineLevel="0" collapsed="false">
      <c r="A11" s="3" t="s">
        <v>24</v>
      </c>
      <c r="C11" s="4" t="str">
        <f aca="false">IF(B11="","",IF(B11&gt;=25,"危機",IF(B11&gt;=15,"無秩序",IF(B11&gt;=12,"警戒",""))))</f>
        <v/>
      </c>
      <c r="E11" s="5"/>
      <c r="G11" s="4" t="str">
        <f aca="false">IF(F11="","",IF(F11&lt;=-200,"危機",IF(F11&lt;=-80,"ストレス","")))</f>
        <v/>
      </c>
      <c r="J11" s="4" t="str">
        <f aca="false">IF(I11="","",IF(I11&lt;=-100000,"✓ショート極端",IF(I11&gt;=100000,"(ロング極端)","")))</f>
        <v/>
      </c>
      <c r="K11" s="6" t="str">
        <f aca="false">IF(COUNTA(B11,D11,E11,F11,H11,I11)=0,"",(IF(C11&lt;&gt;"",1,0))+(IF(AND(E11&lt;&gt;"",N(E11)&gt;=1),1,0))+(IF(G11&lt;&gt;"",1,0))+(IF(H11=1,1,0))+(IF(LEFT(J11,1)="✓",1,0)))</f>
        <v/>
      </c>
    </row>
    <row r="12" customFormat="false" ht="15" hidden="false" customHeight="false" outlineLevel="0" collapsed="false">
      <c r="A12" s="3" t="s">
        <v>25</v>
      </c>
      <c r="C12" s="4" t="str">
        <f aca="false">IF(B12="","",IF(B12&gt;=25,"危機",IF(B12&gt;=15,"無秩序",IF(B12&gt;=12,"警戒",""))))</f>
        <v/>
      </c>
      <c r="E12" s="5"/>
      <c r="G12" s="4" t="str">
        <f aca="false">IF(F12="","",IF(F12&lt;=-200,"危機",IF(F12&lt;=-80,"ストレス","")))</f>
        <v/>
      </c>
      <c r="J12" s="4" t="str">
        <f aca="false">IF(I12="","",IF(I12&lt;=-100000,"✓ショート極端",IF(I12&gt;=100000,"(ロング極端)","")))</f>
        <v/>
      </c>
      <c r="K12" s="6" t="str">
        <f aca="false">IF(COUNTA(B12,D12,E12,F12,H12,I12)=0,"",(IF(C12&lt;&gt;"",1,0))+(IF(AND(E12&lt;&gt;"",N(E12)&gt;=1),1,0))+(IF(G12&lt;&gt;"",1,0))+(IF(H12=1,1,0))+(IF(LEFT(J12,1)="✓",1,0)))</f>
        <v/>
      </c>
    </row>
    <row r="13" customFormat="false" ht="15" hidden="false" customHeight="false" outlineLevel="0" collapsed="false">
      <c r="A13" s="3" t="s">
        <v>26</v>
      </c>
      <c r="C13" s="4" t="str">
        <f aca="false">IF(B13="","",IF(B13&gt;=25,"危機",IF(B13&gt;=15,"無秩序",IF(B13&gt;=12,"警戒",""))))</f>
        <v/>
      </c>
      <c r="E13" s="5"/>
      <c r="G13" s="4" t="str">
        <f aca="false">IF(F13="","",IF(F13&lt;=-200,"危機",IF(F13&lt;=-80,"ストレス","")))</f>
        <v/>
      </c>
      <c r="J13" s="4" t="str">
        <f aca="false">IF(I13="","",IF(I13&lt;=-100000,"✓ショート極端",IF(I13&gt;=100000,"(ロング極端)","")))</f>
        <v/>
      </c>
      <c r="K13" s="6" t="str">
        <f aca="false">IF(COUNTA(B13,D13,E13,F13,H13,I13)=0,"",(IF(C13&lt;&gt;"",1,0))+(IF(AND(E13&lt;&gt;"",N(E13)&gt;=1),1,0))+(IF(G13&lt;&gt;"",1,0))+(IF(H13=1,1,0))+(IF(LEFT(J13,1)="✓",1,0)))</f>
        <v/>
      </c>
    </row>
    <row r="14" customFormat="false" ht="15" hidden="false" customHeight="false" outlineLevel="0" collapsed="false">
      <c r="A14" s="3" t="s">
        <v>27</v>
      </c>
      <c r="C14" s="4" t="str">
        <f aca="false">IF(B14="","",IF(B14&gt;=25,"危機",IF(B14&gt;=15,"無秩序",IF(B14&gt;=12,"警戒",""))))</f>
        <v/>
      </c>
      <c r="E14" s="5"/>
      <c r="G14" s="4" t="str">
        <f aca="false">IF(F14="","",IF(F14&lt;=-200,"危機",IF(F14&lt;=-80,"ストレス","")))</f>
        <v/>
      </c>
      <c r="J14" s="4" t="str">
        <f aca="false">IF(I14="","",IF(I14&lt;=-100000,"✓ショート極端",IF(I14&gt;=100000,"(ロング極端)","")))</f>
        <v/>
      </c>
      <c r="K14" s="6" t="str">
        <f aca="false">IF(COUNTA(B14,D14,E14,F14,H14,I14)=0,"",(IF(C14&lt;&gt;"",1,0))+(IF(AND(E14&lt;&gt;"",N(E14)&gt;=1),1,0))+(IF(G14&lt;&gt;"",1,0))+(IF(H14=1,1,0))+(IF(LEFT(J14,1)="✓",1,0)))</f>
        <v/>
      </c>
    </row>
    <row r="15" customFormat="false" ht="15" hidden="false" customHeight="false" outlineLevel="0" collapsed="false">
      <c r="A15" s="3" t="s">
        <v>28</v>
      </c>
      <c r="C15" s="4" t="str">
        <f aca="false">IF(B15="","",IF(B15&gt;=25,"危機",IF(B15&gt;=15,"無秩序",IF(B15&gt;=12,"警戒",""))))</f>
        <v/>
      </c>
      <c r="E15" s="5"/>
      <c r="G15" s="4" t="str">
        <f aca="false">IF(F15="","",IF(F15&lt;=-200,"危機",IF(F15&lt;=-80,"ストレス","")))</f>
        <v/>
      </c>
      <c r="J15" s="4" t="str">
        <f aca="false">IF(I15="","",IF(I15&lt;=-100000,"✓ショート極端",IF(I15&gt;=100000,"(ロング極端)","")))</f>
        <v/>
      </c>
      <c r="K15" s="6" t="str">
        <f aca="false">IF(COUNTA(B15,D15,E15,F15,H15,I15)=0,"",(IF(C15&lt;&gt;"",1,0))+(IF(AND(E15&lt;&gt;"",N(E15)&gt;=1),1,0))+(IF(G15&lt;&gt;"",1,0))+(IF(H15=1,1,0))+(IF(LEFT(J15,1)="✓",1,0)))</f>
        <v/>
      </c>
    </row>
    <row r="16" customFormat="false" ht="15" hidden="false" customHeight="false" outlineLevel="0" collapsed="false">
      <c r="A16" s="3" t="s">
        <v>29</v>
      </c>
      <c r="C16" s="4" t="str">
        <f aca="false">IF(B16="","",IF(B16&gt;=25,"危機",IF(B16&gt;=15,"無秩序",IF(B16&gt;=12,"警戒",""))))</f>
        <v/>
      </c>
      <c r="E16" s="5"/>
      <c r="G16" s="4" t="str">
        <f aca="false">IF(F16="","",IF(F16&lt;=-200,"危機",IF(F16&lt;=-80,"ストレス","")))</f>
        <v/>
      </c>
      <c r="J16" s="4" t="str">
        <f aca="false">IF(I16="","",IF(I16&lt;=-100000,"✓ショート極端",IF(I16&gt;=100000,"(ロング極端)","")))</f>
        <v/>
      </c>
      <c r="K16" s="6" t="str">
        <f aca="false">IF(COUNTA(B16,D16,E16,F16,H16,I16)=0,"",(IF(C16&lt;&gt;"",1,0))+(IF(AND(E16&lt;&gt;"",N(E16)&gt;=1),1,0))+(IF(G16&lt;&gt;"",1,0))+(IF(H16=1,1,0))+(IF(LEFT(J16,1)="✓",1,0)))</f>
        <v/>
      </c>
    </row>
    <row r="17" customFormat="false" ht="15" hidden="false" customHeight="false" outlineLevel="0" collapsed="false">
      <c r="A17" s="3" t="s">
        <v>30</v>
      </c>
      <c r="C17" s="4" t="str">
        <f aca="false">IF(B17="","",IF(B17&gt;=25,"危機",IF(B17&gt;=15,"無秩序",IF(B17&gt;=12,"警戒",""))))</f>
        <v/>
      </c>
      <c r="E17" s="5"/>
      <c r="G17" s="4" t="str">
        <f aca="false">IF(F17="","",IF(F17&lt;=-200,"危機",IF(F17&lt;=-80,"ストレス","")))</f>
        <v/>
      </c>
      <c r="J17" s="4" t="str">
        <f aca="false">IF(I17="","",IF(I17&lt;=-100000,"✓ショート極端",IF(I17&gt;=100000,"(ロング極端)","")))</f>
        <v/>
      </c>
      <c r="K17" s="6" t="str">
        <f aca="false">IF(COUNTA(B17,D17,E17,F17,H17,I17)=0,"",(IF(C17&lt;&gt;"",1,0))+(IF(AND(E17&lt;&gt;"",N(E17)&gt;=1),1,0))+(IF(G17&lt;&gt;"",1,0))+(IF(H17=1,1,0))+(IF(LEFT(J17,1)="✓",1,0)))</f>
        <v/>
      </c>
    </row>
    <row r="18" customFormat="false" ht="15" hidden="false" customHeight="false" outlineLevel="0" collapsed="false">
      <c r="A18" s="3" t="s">
        <v>31</v>
      </c>
      <c r="C18" s="4" t="str">
        <f aca="false">IF(B18="","",IF(B18&gt;=25,"危機",IF(B18&gt;=15,"無秩序",IF(B18&gt;=12,"警戒",""))))</f>
        <v/>
      </c>
      <c r="E18" s="5"/>
      <c r="G18" s="4" t="str">
        <f aca="false">IF(F18="","",IF(F18&lt;=-200,"危機",IF(F18&lt;=-80,"ストレス","")))</f>
        <v/>
      </c>
      <c r="J18" s="4" t="str">
        <f aca="false">IF(I18="","",IF(I18&lt;=-100000,"✓ショート極端",IF(I18&gt;=100000,"(ロング極端)","")))</f>
        <v/>
      </c>
      <c r="K18" s="6" t="str">
        <f aca="false">IF(COUNTA(B18,D18,E18,F18,H18,I18)=0,"",(IF(C18&lt;&gt;"",1,0))+(IF(AND(E18&lt;&gt;"",N(E18)&gt;=1),1,0))+(IF(G18&lt;&gt;"",1,0))+(IF(H18=1,1,0))+(IF(LEFT(J18,1)="✓",1,0)))</f>
        <v/>
      </c>
    </row>
    <row r="19" customFormat="false" ht="15" hidden="false" customHeight="false" outlineLevel="0" collapsed="false">
      <c r="A19" s="3" t="s">
        <v>32</v>
      </c>
      <c r="C19" s="4" t="str">
        <f aca="false">IF(B19="","",IF(B19&gt;=25,"危機",IF(B19&gt;=15,"無秩序",IF(B19&gt;=12,"警戒",""))))</f>
        <v/>
      </c>
      <c r="E19" s="5"/>
      <c r="G19" s="4" t="str">
        <f aca="false">IF(F19="","",IF(F19&lt;=-200,"危機",IF(F19&lt;=-80,"ストレス","")))</f>
        <v/>
      </c>
      <c r="J19" s="4" t="str">
        <f aca="false">IF(I19="","",IF(I19&lt;=-100000,"✓ショート極端",IF(I19&gt;=100000,"(ロング極端)","")))</f>
        <v/>
      </c>
      <c r="K19" s="6" t="str">
        <f aca="false">IF(COUNTA(B19,D19,E19,F19,H19,I19)=0,"",(IF(C19&lt;&gt;"",1,0))+(IF(AND(E19&lt;&gt;"",N(E19)&gt;=1),1,0))+(IF(G19&lt;&gt;"",1,0))+(IF(H19=1,1,0))+(IF(LEFT(J19,1)="✓",1,0)))</f>
        <v/>
      </c>
    </row>
    <row r="20" customFormat="false" ht="15" hidden="false" customHeight="false" outlineLevel="0" collapsed="false">
      <c r="A20" s="3" t="s">
        <v>33</v>
      </c>
      <c r="C20" s="4" t="str">
        <f aca="false">IF(B20="","",IF(B20&gt;=25,"危機",IF(B20&gt;=15,"無秩序",IF(B20&gt;=12,"警戒",""))))</f>
        <v/>
      </c>
      <c r="E20" s="5"/>
      <c r="G20" s="4" t="str">
        <f aca="false">IF(F20="","",IF(F20&lt;=-200,"危機",IF(F20&lt;=-80,"ストレス","")))</f>
        <v/>
      </c>
      <c r="J20" s="4" t="str">
        <f aca="false">IF(I20="","",IF(I20&lt;=-100000,"✓ショート極端",IF(I20&gt;=100000,"(ロング極端)","")))</f>
        <v/>
      </c>
      <c r="K20" s="6" t="str">
        <f aca="false">IF(COUNTA(B20,D20,E20,F20,H20,I20)=0,"",(IF(C20&lt;&gt;"",1,0))+(IF(AND(E20&lt;&gt;"",N(E20)&gt;=1),1,0))+(IF(G20&lt;&gt;"",1,0))+(IF(H20=1,1,0))+(IF(LEFT(J20,1)="✓",1,0)))</f>
        <v/>
      </c>
    </row>
    <row r="21" customFormat="false" ht="15" hidden="false" customHeight="false" outlineLevel="0" collapsed="false">
      <c r="A21" s="3" t="s">
        <v>34</v>
      </c>
      <c r="C21" s="4" t="str">
        <f aca="false">IF(B21="","",IF(B21&gt;=25,"危機",IF(B21&gt;=15,"無秩序",IF(B21&gt;=12,"警戒",""))))</f>
        <v/>
      </c>
      <c r="E21" s="5"/>
      <c r="G21" s="4" t="str">
        <f aca="false">IF(F21="","",IF(F21&lt;=-200,"危機",IF(F21&lt;=-80,"ストレス","")))</f>
        <v/>
      </c>
      <c r="J21" s="4" t="str">
        <f aca="false">IF(I21="","",IF(I21&lt;=-100000,"✓ショート極端",IF(I21&gt;=100000,"(ロング極端)","")))</f>
        <v/>
      </c>
      <c r="K21" s="6" t="str">
        <f aca="false">IF(COUNTA(B21,D21,E21,F21,H21,I21)=0,"",(IF(C21&lt;&gt;"",1,0))+(IF(AND(E21&lt;&gt;"",N(E21)&gt;=1),1,0))+(IF(G21&lt;&gt;"",1,0))+(IF(H21=1,1,0))+(IF(LEFT(J21,1)="✓",1,0)))</f>
        <v/>
      </c>
    </row>
    <row r="22" customFormat="false" ht="15" hidden="false" customHeight="false" outlineLevel="0" collapsed="false">
      <c r="A22" s="3" t="s">
        <v>35</v>
      </c>
      <c r="C22" s="4" t="str">
        <f aca="false">IF(B22="","",IF(B22&gt;=25,"危機",IF(B22&gt;=15,"無秩序",IF(B22&gt;=12,"警戒",""))))</f>
        <v/>
      </c>
      <c r="E22" s="5"/>
      <c r="G22" s="4" t="str">
        <f aca="false">IF(F22="","",IF(F22&lt;=-200,"危機",IF(F22&lt;=-80,"ストレス","")))</f>
        <v/>
      </c>
      <c r="J22" s="4" t="str">
        <f aca="false">IF(I22="","",IF(I22&lt;=-100000,"✓ショート極端",IF(I22&gt;=100000,"(ロング極端)","")))</f>
        <v/>
      </c>
      <c r="K22" s="6" t="str">
        <f aca="false">IF(COUNTA(B22,D22,E22,F22,H22,I22)=0,"",(IF(C22&lt;&gt;"",1,0))+(IF(AND(E22&lt;&gt;"",N(E22)&gt;=1),1,0))+(IF(G22&lt;&gt;"",1,0))+(IF(H22=1,1,0))+(IF(LEFT(J22,1)="✓",1,0)))</f>
        <v/>
      </c>
    </row>
    <row r="23" customFormat="false" ht="15" hidden="false" customHeight="false" outlineLevel="0" collapsed="false">
      <c r="A23" s="3" t="s">
        <v>36</v>
      </c>
      <c r="C23" s="4" t="str">
        <f aca="false">IF(B23="","",IF(B23&gt;=25,"危機",IF(B23&gt;=15,"無秩序",IF(B23&gt;=12,"警戒",""))))</f>
        <v/>
      </c>
      <c r="E23" s="5"/>
      <c r="G23" s="4" t="str">
        <f aca="false">IF(F23="","",IF(F23&lt;=-200,"危機",IF(F23&lt;=-80,"ストレス","")))</f>
        <v/>
      </c>
      <c r="J23" s="4" t="str">
        <f aca="false">IF(I23="","",IF(I23&lt;=-100000,"✓ショート極端",IF(I23&gt;=100000,"(ロング極端)","")))</f>
        <v/>
      </c>
      <c r="K23" s="6" t="str">
        <f aca="false">IF(COUNTA(B23,D23,E23,F23,H23,I23)=0,"",(IF(C23&lt;&gt;"",1,0))+(IF(AND(E23&lt;&gt;"",N(E23)&gt;=1),1,0))+(IF(G23&lt;&gt;"",1,0))+(IF(H23=1,1,0))+(IF(LEFT(J23,1)="✓",1,0)))</f>
        <v/>
      </c>
    </row>
    <row r="24" customFormat="false" ht="15" hidden="false" customHeight="false" outlineLevel="0" collapsed="false">
      <c r="A24" s="3" t="s">
        <v>37</v>
      </c>
      <c r="C24" s="4" t="str">
        <f aca="false">IF(B24="","",IF(B24&gt;=25,"危機",IF(B24&gt;=15,"無秩序",IF(B24&gt;=12,"警戒",""))))</f>
        <v/>
      </c>
      <c r="E24" s="5"/>
      <c r="G24" s="4" t="str">
        <f aca="false">IF(F24="","",IF(F24&lt;=-200,"危機",IF(F24&lt;=-80,"ストレス","")))</f>
        <v/>
      </c>
      <c r="J24" s="4" t="str">
        <f aca="false">IF(I24="","",IF(I24&lt;=-100000,"✓ショート極端",IF(I24&gt;=100000,"(ロング極端)","")))</f>
        <v/>
      </c>
      <c r="K24" s="6" t="str">
        <f aca="false">IF(COUNTA(B24,D24,E24,F24,H24,I24)=0,"",(IF(C24&lt;&gt;"",1,0))+(IF(AND(E24&lt;&gt;"",N(E24)&gt;=1),1,0))+(IF(G24&lt;&gt;"",1,0))+(IF(H24=1,1,0))+(IF(LEFT(J24,1)="✓",1,0)))</f>
        <v/>
      </c>
      <c r="L24" s="9" t="s">
        <v>38</v>
      </c>
    </row>
    <row r="25" customFormat="false" ht="15" hidden="false" customHeight="false" outlineLevel="0" collapsed="false">
      <c r="A25" s="3" t="s">
        <v>39</v>
      </c>
      <c r="C25" s="4" t="str">
        <f aca="false">IF(B25="","",IF(B25&gt;=25,"危機",IF(B25&gt;=15,"無秩序",IF(B25&gt;=12,"警戒",""))))</f>
        <v/>
      </c>
      <c r="E25" s="5"/>
      <c r="G25" s="4" t="str">
        <f aca="false">IF(F25="","",IF(F25&lt;=-200,"危機",IF(F25&lt;=-80,"ストレス","")))</f>
        <v/>
      </c>
      <c r="J25" s="4" t="str">
        <f aca="false">IF(I25="","",IF(I25&lt;=-100000,"✓ショート極端",IF(I25&gt;=100000,"(ロング極端)","")))</f>
        <v/>
      </c>
      <c r="K25" s="6" t="str">
        <f aca="false">IF(COUNTA(B25,D25,E25,F25,H25,I25)=0,"",(IF(C25&lt;&gt;"",1,0))+(IF(AND(E25&lt;&gt;"",N(E25)&gt;=1),1,0))+(IF(G25&lt;&gt;"",1,0))+(IF(H25=1,1,0))+(IF(LEFT(J25,1)="✓",1,0)))</f>
        <v/>
      </c>
    </row>
    <row r="26" customFormat="false" ht="15" hidden="false" customHeight="false" outlineLevel="0" collapsed="false">
      <c r="A26" s="3" t="s">
        <v>40</v>
      </c>
      <c r="C26" s="4" t="str">
        <f aca="false">IF(B26="","",IF(B26&gt;=25,"危機",IF(B26&gt;=15,"無秩序",IF(B26&gt;=12,"警戒",""))))</f>
        <v/>
      </c>
      <c r="E26" s="5"/>
      <c r="G26" s="4" t="str">
        <f aca="false">IF(F26="","",IF(F26&lt;=-200,"危機",IF(F26&lt;=-80,"ストレス","")))</f>
        <v/>
      </c>
      <c r="J26" s="4" t="str">
        <f aca="false">IF(I26="","",IF(I26&lt;=-100000,"✓ショート極端",IF(I26&gt;=100000,"(ロング極端)","")))</f>
        <v/>
      </c>
      <c r="K26" s="6" t="str">
        <f aca="false">IF(COUNTA(B26,D26,E26,F26,H26,I26)=0,"",(IF(C26&lt;&gt;"",1,0))+(IF(AND(E26&lt;&gt;"",N(E26)&gt;=1),1,0))+(IF(G26&lt;&gt;"",1,0))+(IF(H26=1,1,0))+(IF(LEFT(J26,1)="✓",1,0)))</f>
        <v/>
      </c>
    </row>
    <row r="27" customFormat="false" ht="15" hidden="false" customHeight="false" outlineLevel="0" collapsed="false">
      <c r="A27" s="3" t="s">
        <v>41</v>
      </c>
      <c r="C27" s="4" t="str">
        <f aca="false">IF(B27="","",IF(B27&gt;=25,"危機",IF(B27&gt;=15,"無秩序",IF(B27&gt;=12,"警戒",""))))</f>
        <v/>
      </c>
      <c r="E27" s="5"/>
      <c r="G27" s="4" t="str">
        <f aca="false">IF(F27="","",IF(F27&lt;=-200,"危機",IF(F27&lt;=-80,"ストレス","")))</f>
        <v/>
      </c>
      <c r="J27" s="4" t="str">
        <f aca="false">IF(I27="","",IF(I27&lt;=-100000,"✓ショート極端",IF(I27&gt;=100000,"(ロング極端)","")))</f>
        <v/>
      </c>
      <c r="K27" s="6" t="str">
        <f aca="false">IF(COUNTA(B27,D27,E27,F27,H27,I27)=0,"",(IF(C27&lt;&gt;"",1,0))+(IF(AND(E27&lt;&gt;"",N(E27)&gt;=1),1,0))+(IF(G27&lt;&gt;"",1,0))+(IF(H27=1,1,0))+(IF(LEFT(J27,1)="✓",1,0)))</f>
        <v/>
      </c>
    </row>
    <row r="28" customFormat="false" ht="15" hidden="false" customHeight="false" outlineLevel="0" collapsed="false">
      <c r="A28" s="3" t="s">
        <v>42</v>
      </c>
      <c r="C28" s="4" t="str">
        <f aca="false">IF(B28="","",IF(B28&gt;=25,"危機",IF(B28&gt;=15,"無秩序",IF(B28&gt;=12,"警戒",""))))</f>
        <v/>
      </c>
      <c r="E28" s="5"/>
      <c r="G28" s="4" t="str">
        <f aca="false">IF(F28="","",IF(F28&lt;=-200,"危機",IF(F28&lt;=-80,"ストレス","")))</f>
        <v/>
      </c>
      <c r="J28" s="4" t="str">
        <f aca="false">IF(I28="","",IF(I28&lt;=-100000,"✓ショート極端",IF(I28&gt;=100000,"(ロング極端)","")))</f>
        <v/>
      </c>
      <c r="K28" s="6" t="str">
        <f aca="false">IF(COUNTA(B28,D28,E28,F28,H28,I28)=0,"",(IF(C28&lt;&gt;"",1,0))+(IF(AND(E28&lt;&gt;"",N(E28)&gt;=1),1,0))+(IF(G28&lt;&gt;"",1,0))+(IF(H28=1,1,0))+(IF(LEFT(J28,1)="✓",1,0)))</f>
        <v/>
      </c>
    </row>
    <row r="29" customFormat="false" ht="15" hidden="false" customHeight="false" outlineLevel="0" collapsed="false">
      <c r="A29" s="3" t="s">
        <v>43</v>
      </c>
      <c r="C29" s="4" t="str">
        <f aca="false">IF(B29="","",IF(B29&gt;=25,"危機",IF(B29&gt;=15,"無秩序",IF(B29&gt;=12,"警戒",""))))</f>
        <v/>
      </c>
      <c r="E29" s="5"/>
      <c r="G29" s="4" t="str">
        <f aca="false">IF(F29="","",IF(F29&lt;=-200,"危機",IF(F29&lt;=-80,"ストレス","")))</f>
        <v/>
      </c>
      <c r="J29" s="4" t="str">
        <f aca="false">IF(I29="","",IF(I29&lt;=-100000,"✓ショート極端",IF(I29&gt;=100000,"(ロング極端)","")))</f>
        <v/>
      </c>
      <c r="K29" s="6" t="str">
        <f aca="false">IF(COUNTA(B29,D29,E29,F29,H29,I29)=0,"",(IF(C29&lt;&gt;"",1,0))+(IF(AND(E29&lt;&gt;"",N(E29)&gt;=1),1,0))+(IF(G29&lt;&gt;"",1,0))+(IF(H29=1,1,0))+(IF(LEFT(J29,1)="✓",1,0)))</f>
        <v/>
      </c>
    </row>
    <row r="30" customFormat="false" ht="15" hidden="false" customHeight="false" outlineLevel="0" collapsed="false">
      <c r="A30" s="3" t="s">
        <v>44</v>
      </c>
      <c r="C30" s="4" t="str">
        <f aca="false">IF(B30="","",IF(B30&gt;=25,"危機",IF(B30&gt;=15,"無秩序",IF(B30&gt;=12,"警戒",""))))</f>
        <v/>
      </c>
      <c r="E30" s="5"/>
      <c r="G30" s="4" t="str">
        <f aca="false">IF(F30="","",IF(F30&lt;=-200,"危機",IF(F30&lt;=-80,"ストレス","")))</f>
        <v/>
      </c>
      <c r="J30" s="4" t="str">
        <f aca="false">IF(I30="","",IF(I30&lt;=-100000,"✓ショート極端",IF(I30&gt;=100000,"(ロング極端)","")))</f>
        <v/>
      </c>
      <c r="K30" s="6" t="str">
        <f aca="false">IF(COUNTA(B30,D30,E30,F30,H30,I30)=0,"",(IF(C30&lt;&gt;"",1,0))+(IF(AND(E30&lt;&gt;"",N(E30)&gt;=1),1,0))+(IF(G30&lt;&gt;"",1,0))+(IF(H30=1,1,0))+(IF(LEFT(J30,1)="✓",1,0)))</f>
        <v/>
      </c>
    </row>
    <row r="31" customFormat="false" ht="15" hidden="false" customHeight="false" outlineLevel="0" collapsed="false">
      <c r="A31" s="3" t="s">
        <v>45</v>
      </c>
      <c r="C31" s="4" t="str">
        <f aca="false">IF(B31="","",IF(B31&gt;=25,"危機",IF(B31&gt;=15,"無秩序",IF(B31&gt;=12,"警戒",""))))</f>
        <v/>
      </c>
      <c r="E31" s="5"/>
      <c r="G31" s="4" t="str">
        <f aca="false">IF(F31="","",IF(F31&lt;=-200,"危機",IF(F31&lt;=-80,"ストレス","")))</f>
        <v/>
      </c>
      <c r="J31" s="4" t="str">
        <f aca="false">IF(I31="","",IF(I31&lt;=-100000,"✓ショート極端",IF(I31&gt;=100000,"(ロング極端)","")))</f>
        <v/>
      </c>
      <c r="K31" s="6" t="str">
        <f aca="false">IF(COUNTA(B31,D31,E31,F31,H31,I31)=0,"",(IF(C31&lt;&gt;"",1,0))+(IF(AND(E31&lt;&gt;"",N(E31)&gt;=1),1,0))+(IF(G31&lt;&gt;"",1,0))+(IF(H31=1,1,0))+(IF(LEFT(J31,1)="✓",1,0)))</f>
        <v/>
      </c>
    </row>
    <row r="32" customFormat="false" ht="15" hidden="false" customHeight="false" outlineLevel="0" collapsed="false">
      <c r="A32" s="3" t="s">
        <v>46</v>
      </c>
      <c r="C32" s="4" t="str">
        <f aca="false">IF(B32="","",IF(B32&gt;=25,"危機",IF(B32&gt;=15,"無秩序",IF(B32&gt;=12,"警戒",""))))</f>
        <v/>
      </c>
      <c r="E32" s="5"/>
      <c r="G32" s="4" t="str">
        <f aca="false">IF(F32="","",IF(F32&lt;=-200,"危機",IF(F32&lt;=-80,"ストレス","")))</f>
        <v/>
      </c>
      <c r="J32" s="4" t="str">
        <f aca="false">IF(I32="","",IF(I32&lt;=-100000,"✓ショート極端",IF(I32&gt;=100000,"(ロング極端)","")))</f>
        <v/>
      </c>
      <c r="K32" s="6" t="str">
        <f aca="false">IF(COUNTA(B32,D32,E32,F32,H32,I32)=0,"",(IF(C32&lt;&gt;"",1,0))+(IF(AND(E32&lt;&gt;"",N(E32)&gt;=1),1,0))+(IF(G32&lt;&gt;"",1,0))+(IF(H32=1,1,0))+(IF(LEFT(J32,1)="✓",1,0)))</f>
        <v/>
      </c>
    </row>
    <row r="33" customFormat="false" ht="15" hidden="false" customHeight="false" outlineLevel="0" collapsed="false">
      <c r="A33" s="3" t="s">
        <v>47</v>
      </c>
      <c r="C33" s="4" t="str">
        <f aca="false">IF(B33="","",IF(B33&gt;=25,"危機",IF(B33&gt;=15,"無秩序",IF(B33&gt;=12,"警戒",""))))</f>
        <v/>
      </c>
      <c r="E33" s="5"/>
      <c r="G33" s="4" t="str">
        <f aca="false">IF(F33="","",IF(F33&lt;=-200,"危機",IF(F33&lt;=-80,"ストレス","")))</f>
        <v/>
      </c>
      <c r="J33" s="4" t="str">
        <f aca="false">IF(I33="","",IF(I33&lt;=-100000,"✓ショート極端",IF(I33&gt;=100000,"(ロング極端)","")))</f>
        <v/>
      </c>
      <c r="K33" s="6" t="str">
        <f aca="false">IF(COUNTA(B33,D33,E33,F33,H33,I33)=0,"",(IF(C33&lt;&gt;"",1,0))+(IF(AND(E33&lt;&gt;"",N(E33)&gt;=1),1,0))+(IF(G33&lt;&gt;"",1,0))+(IF(H33=1,1,0))+(IF(LEFT(J33,1)="✓",1,0)))</f>
        <v/>
      </c>
    </row>
    <row r="34" customFormat="false" ht="15" hidden="false" customHeight="false" outlineLevel="0" collapsed="false">
      <c r="A34" s="3" t="s">
        <v>48</v>
      </c>
      <c r="C34" s="4" t="str">
        <f aca="false">IF(B34="","",IF(B34&gt;=25,"危機",IF(B34&gt;=15,"無秩序",IF(B34&gt;=12,"警戒",""))))</f>
        <v/>
      </c>
      <c r="E34" s="5"/>
      <c r="G34" s="4" t="str">
        <f aca="false">IF(F34="","",IF(F34&lt;=-200,"危機",IF(F34&lt;=-80,"ストレス","")))</f>
        <v/>
      </c>
      <c r="J34" s="4" t="str">
        <f aca="false">IF(I34="","",IF(I34&lt;=-100000,"✓ショート極端",IF(I34&gt;=100000,"(ロング極端)","")))</f>
        <v/>
      </c>
      <c r="K34" s="6" t="str">
        <f aca="false">IF(COUNTA(B34,D34,E34,F34,H34,I34)=0,"",(IF(C34&lt;&gt;"",1,0))+(IF(AND(E34&lt;&gt;"",N(E34)&gt;=1),1,0))+(IF(G34&lt;&gt;"",1,0))+(IF(H34=1,1,0))+(IF(LEFT(J34,1)="✓",1,0)))</f>
        <v/>
      </c>
      <c r="L34" s="9" t="s">
        <v>49</v>
      </c>
    </row>
    <row r="35" customFormat="false" ht="15" hidden="false" customHeight="false" outlineLevel="0" collapsed="false">
      <c r="A35" s="3" t="s">
        <v>50</v>
      </c>
      <c r="C35" s="4" t="str">
        <f aca="false">IF(B35="","",IF(B35&gt;=25,"危機",IF(B35&gt;=15,"無秩序",IF(B35&gt;=12,"警戒",""))))</f>
        <v/>
      </c>
      <c r="D35" s="7" t="n">
        <v>-3.8</v>
      </c>
      <c r="E35" s="8" t="n">
        <v>1</v>
      </c>
      <c r="G35" s="4" t="str">
        <f aca="false">IF(F35="","",IF(F35&lt;=-200,"危機",IF(F35&lt;=-80,"ストレス","")))</f>
        <v/>
      </c>
      <c r="J35" s="4" t="str">
        <f aca="false">IF(I35="","",IF(I35&lt;=-100000,"✓ショート極端",IF(I35&gt;=100000,"(ロング極端)","")))</f>
        <v/>
      </c>
      <c r="K35" s="6" t="n">
        <f aca="false">IF(COUNTA(B35,D35,E35,F35,H35,I35)=0,"",(IF(C35&lt;&gt;"",1,0))+(IF(AND(E35&lt;&gt;"",N(E35)&gt;=1),1,0))+(IF(G35&lt;&gt;"",1,0))+(IF(H35=1,1,0))+(IF(LEFT(J35,1)="✓",1,0)))</f>
        <v>1</v>
      </c>
      <c r="L35" s="9" t="s">
        <v>51</v>
      </c>
    </row>
    <row r="36" customFormat="false" ht="15" hidden="false" customHeight="false" outlineLevel="0" collapsed="false">
      <c r="A36" s="3" t="s">
        <v>52</v>
      </c>
      <c r="C36" s="4" t="str">
        <f aca="false">IF(B36="","",IF(B36&gt;=25,"危機",IF(B36&gt;=15,"無秩序",IF(B36&gt;=12,"警戒",""))))</f>
        <v/>
      </c>
      <c r="E36" s="5"/>
      <c r="G36" s="4" t="str">
        <f aca="false">IF(F36="","",IF(F36&lt;=-200,"危機",IF(F36&lt;=-80,"ストレス","")))</f>
        <v/>
      </c>
      <c r="J36" s="4" t="str">
        <f aca="false">IF(I36="","",IF(I36&lt;=-100000,"✓ショート極端",IF(I36&gt;=100000,"(ロング極端)","")))</f>
        <v/>
      </c>
      <c r="K36" s="6" t="str">
        <f aca="false">IF(COUNTA(B36,D36,E36,F36,H36,I36)=0,"",(IF(C36&lt;&gt;"",1,0))+(IF(AND(E36&lt;&gt;"",N(E36)&gt;=1),1,0))+(IF(G36&lt;&gt;"",1,0))+(IF(H36=1,1,0))+(IF(LEFT(J36,1)="✓",1,0)))</f>
        <v/>
      </c>
    </row>
    <row r="37" customFormat="false" ht="15" hidden="false" customHeight="false" outlineLevel="0" collapsed="false">
      <c r="A37" s="3" t="s">
        <v>53</v>
      </c>
      <c r="C37" s="4" t="str">
        <f aca="false">IF(B37="","",IF(B37&gt;=25,"危機",IF(B37&gt;=15,"無秩序",IF(B37&gt;=12,"警戒",""))))</f>
        <v/>
      </c>
      <c r="E37" s="5"/>
      <c r="G37" s="4" t="str">
        <f aca="false">IF(F37="","",IF(F37&lt;=-200,"危機",IF(F37&lt;=-80,"ストレス","")))</f>
        <v/>
      </c>
      <c r="J37" s="4" t="str">
        <f aca="false">IF(I37="","",IF(I37&lt;=-100000,"✓ショート極端",IF(I37&gt;=100000,"(ロング極端)","")))</f>
        <v/>
      </c>
      <c r="K37" s="6" t="str">
        <f aca="false">IF(COUNTA(B37,D37,E37,F37,H37,I37)=0,"",(IF(C37&lt;&gt;"",1,0))+(IF(AND(E37&lt;&gt;"",N(E37)&gt;=1),1,0))+(IF(G37&lt;&gt;"",1,0))+(IF(H37=1,1,0))+(IF(LEFT(J37,1)="✓",1,0)))</f>
        <v/>
      </c>
    </row>
    <row r="38" customFormat="false" ht="15" hidden="false" customHeight="false" outlineLevel="0" collapsed="false">
      <c r="A38" s="3" t="s">
        <v>54</v>
      </c>
      <c r="C38" s="4" t="str">
        <f aca="false">IF(B38="","",IF(B38&gt;=25,"危機",IF(B38&gt;=15,"無秩序",IF(B38&gt;=12,"警戒",""))))</f>
        <v/>
      </c>
      <c r="E38" s="5"/>
      <c r="G38" s="4" t="str">
        <f aca="false">IF(F38="","",IF(F38&lt;=-200,"危機",IF(F38&lt;=-80,"ストレス","")))</f>
        <v/>
      </c>
      <c r="J38" s="4" t="str">
        <f aca="false">IF(I38="","",IF(I38&lt;=-100000,"✓ショート極端",IF(I38&gt;=100000,"(ロング極端)","")))</f>
        <v/>
      </c>
      <c r="K38" s="6" t="str">
        <f aca="false">IF(COUNTA(B38,D38,E38,F38,H38,I38)=0,"",(IF(C38&lt;&gt;"",1,0))+(IF(AND(E38&lt;&gt;"",N(E38)&gt;=1),1,0))+(IF(G38&lt;&gt;"",1,0))+(IF(H38=1,1,0))+(IF(LEFT(J38,1)="✓",1,0)))</f>
        <v/>
      </c>
    </row>
    <row r="39" customFormat="false" ht="15" hidden="false" customHeight="false" outlineLevel="0" collapsed="false">
      <c r="A39" s="3" t="s">
        <v>55</v>
      </c>
      <c r="C39" s="4" t="str">
        <f aca="false">IF(B39="","",IF(B39&gt;=25,"危機",IF(B39&gt;=15,"無秩序",IF(B39&gt;=12,"警戒",""))))</f>
        <v/>
      </c>
      <c r="E39" s="5"/>
      <c r="G39" s="4" t="str">
        <f aca="false">IF(F39="","",IF(F39&lt;=-200,"危機",IF(F39&lt;=-80,"ストレス","")))</f>
        <v/>
      </c>
      <c r="J39" s="4" t="str">
        <f aca="false">IF(I39="","",IF(I39&lt;=-100000,"✓ショート極端",IF(I39&gt;=100000,"(ロング極端)","")))</f>
        <v/>
      </c>
      <c r="K39" s="6" t="str">
        <f aca="false">IF(COUNTA(B39,D39,E39,F39,H39,I39)=0,"",(IF(C39&lt;&gt;"",1,0))+(IF(AND(E39&lt;&gt;"",N(E39)&gt;=1),1,0))+(IF(G39&lt;&gt;"",1,0))+(IF(H39=1,1,0))+(IF(LEFT(J39,1)="✓",1,0)))</f>
        <v/>
      </c>
    </row>
    <row r="40" customFormat="false" ht="15" hidden="false" customHeight="false" outlineLevel="0" collapsed="false">
      <c r="A40" s="3" t="s">
        <v>56</v>
      </c>
      <c r="C40" s="4" t="str">
        <f aca="false">IF(B40="","",IF(B40&gt;=25,"危機",IF(B40&gt;=15,"無秩序",IF(B40&gt;=12,"警戒",""))))</f>
        <v/>
      </c>
      <c r="E40" s="5"/>
      <c r="G40" s="4" t="str">
        <f aca="false">IF(F40="","",IF(F40&lt;=-200,"危機",IF(F40&lt;=-80,"ストレス","")))</f>
        <v/>
      </c>
      <c r="J40" s="4" t="str">
        <f aca="false">IF(I40="","",IF(I40&lt;=-100000,"✓ショート極端",IF(I40&gt;=100000,"(ロング極端)","")))</f>
        <v/>
      </c>
      <c r="K40" s="6" t="str">
        <f aca="false">IF(COUNTA(B40,D40,E40,F40,H40,I40)=0,"",(IF(C40&lt;&gt;"",1,0))+(IF(AND(E40&lt;&gt;"",N(E40)&gt;=1),1,0))+(IF(G40&lt;&gt;"",1,0))+(IF(H40=1,1,0))+(IF(LEFT(J40,1)="✓",1,0)))</f>
        <v/>
      </c>
    </row>
    <row r="41" customFormat="false" ht="15" hidden="false" customHeight="false" outlineLevel="0" collapsed="false">
      <c r="A41" s="3" t="s">
        <v>57</v>
      </c>
      <c r="C41" s="4" t="str">
        <f aca="false">IF(B41="","",IF(B41&gt;=25,"危機",IF(B41&gt;=15,"無秩序",IF(B41&gt;=12,"警戒",""))))</f>
        <v/>
      </c>
      <c r="E41" s="5"/>
      <c r="G41" s="4" t="str">
        <f aca="false">IF(F41="","",IF(F41&lt;=-200,"危機",IF(F41&lt;=-80,"ストレス","")))</f>
        <v/>
      </c>
      <c r="J41" s="4" t="str">
        <f aca="false">IF(I41="","",IF(I41&lt;=-100000,"✓ショート極端",IF(I41&gt;=100000,"(ロング極端)","")))</f>
        <v/>
      </c>
      <c r="K41" s="6" t="str">
        <f aca="false">IF(COUNTA(B41,D41,E41,F41,H41,I41)=0,"",(IF(C41&lt;&gt;"",1,0))+(IF(AND(E41&lt;&gt;"",N(E41)&gt;=1),1,0))+(IF(G41&lt;&gt;"",1,0))+(IF(H41=1,1,0))+(IF(LEFT(J41,1)="✓",1,0)))</f>
        <v/>
      </c>
    </row>
    <row r="42" customFormat="false" ht="15" hidden="false" customHeight="false" outlineLevel="0" collapsed="false">
      <c r="A42" s="3" t="s">
        <v>58</v>
      </c>
      <c r="C42" s="4" t="str">
        <f aca="false">IF(B42="","",IF(B42&gt;=25,"危機",IF(B42&gt;=15,"無秩序",IF(B42&gt;=12,"警戒",""))))</f>
        <v/>
      </c>
      <c r="E42" s="5"/>
      <c r="G42" s="4" t="str">
        <f aca="false">IF(F42="","",IF(F42&lt;=-200,"危機",IF(F42&lt;=-80,"ストレス","")))</f>
        <v/>
      </c>
      <c r="J42" s="4" t="str">
        <f aca="false">IF(I42="","",IF(I42&lt;=-100000,"✓ショート極端",IF(I42&gt;=100000,"(ロング極端)","")))</f>
        <v/>
      </c>
      <c r="K42" s="6" t="str">
        <f aca="false">IF(COUNTA(B42,D42,E42,F42,H42,I42)=0,"",(IF(C42&lt;&gt;"",1,0))+(IF(AND(E42&lt;&gt;"",N(E42)&gt;=1),1,0))+(IF(G42&lt;&gt;"",1,0))+(IF(H42=1,1,0))+(IF(LEFT(J42,1)="✓",1,0)))</f>
        <v/>
      </c>
      <c r="L42" s="10" t="s">
        <v>59</v>
      </c>
    </row>
    <row r="43" customFormat="false" ht="15" hidden="false" customHeight="false" outlineLevel="0" collapsed="false">
      <c r="A43" s="3" t="s">
        <v>60</v>
      </c>
      <c r="C43" s="4" t="str">
        <f aca="false">IF(B43="","",IF(B43&gt;=25,"危機",IF(B43&gt;=15,"無秩序",IF(B43&gt;=12,"警戒",""))))</f>
        <v/>
      </c>
      <c r="E43" s="5"/>
      <c r="G43" s="4" t="str">
        <f aca="false">IF(F43="","",IF(F43&lt;=-200,"危機",IF(F43&lt;=-80,"ストレス","")))</f>
        <v/>
      </c>
      <c r="J43" s="4" t="str">
        <f aca="false">IF(I43="","",IF(I43&lt;=-100000,"✓ショート極端",IF(I43&gt;=100000,"(ロング極端)","")))</f>
        <v/>
      </c>
      <c r="K43" s="6" t="str">
        <f aca="false">IF(COUNTA(B43,D43,E43,F43,H43,I43)=0,"",(IF(C43&lt;&gt;"",1,0))+(IF(AND(E43&lt;&gt;"",N(E43)&gt;=1),1,0))+(IF(G43&lt;&gt;"",1,0))+(IF(H43=1,1,0))+(IF(LEFT(J43,1)="✓",1,0)))</f>
        <v/>
      </c>
    </row>
    <row r="44" customFormat="false" ht="15" hidden="false" customHeight="false" outlineLevel="0" collapsed="false">
      <c r="A44" s="3" t="s">
        <v>61</v>
      </c>
      <c r="C44" s="4" t="str">
        <f aca="false">IF(B44="","",IF(B44&gt;=25,"危機",IF(B44&gt;=15,"無秩序",IF(B44&gt;=12,"警戒",""))))</f>
        <v/>
      </c>
      <c r="E44" s="5"/>
      <c r="G44" s="4" t="str">
        <f aca="false">IF(F44="","",IF(F44&lt;=-200,"危機",IF(F44&lt;=-80,"ストレス","")))</f>
        <v/>
      </c>
      <c r="J44" s="4" t="str">
        <f aca="false">IF(I44="","",IF(I44&lt;=-100000,"✓ショート極端",IF(I44&gt;=100000,"(ロング極端)","")))</f>
        <v/>
      </c>
      <c r="K44" s="6" t="str">
        <f aca="false">IF(COUNTA(B44,D44,E44,F44,H44,I44)=0,"",(IF(C44&lt;&gt;"",1,0))+(IF(AND(E44&lt;&gt;"",N(E44)&gt;=1),1,0))+(IF(G44&lt;&gt;"",1,0))+(IF(H44=1,1,0))+(IF(LEFT(J44,1)="✓",1,0)))</f>
        <v/>
      </c>
    </row>
    <row r="45" customFormat="false" ht="15" hidden="false" customHeight="false" outlineLevel="0" collapsed="false">
      <c r="A45" s="3" t="s">
        <v>62</v>
      </c>
      <c r="C45" s="4" t="str">
        <f aca="false">IF(B45="","",IF(B45&gt;=25,"危機",IF(B45&gt;=15,"無秩序",IF(B45&gt;=12,"警戒",""))))</f>
        <v/>
      </c>
      <c r="E45" s="5"/>
      <c r="G45" s="4" t="str">
        <f aca="false">IF(F45="","",IF(F45&lt;=-200,"危機",IF(F45&lt;=-80,"ストレス","")))</f>
        <v/>
      </c>
      <c r="J45" s="4" t="str">
        <f aca="false">IF(I45="","",IF(I45&lt;=-100000,"✓ショート極端",IF(I45&gt;=100000,"(ロング極端)","")))</f>
        <v/>
      </c>
      <c r="K45" s="6" t="str">
        <f aca="false">IF(COUNTA(B45,D45,E45,F45,H45,I45)=0,"",(IF(C45&lt;&gt;"",1,0))+(IF(AND(E45&lt;&gt;"",N(E45)&gt;=1),1,0))+(IF(G45&lt;&gt;"",1,0))+(IF(H45=1,1,0))+(IF(LEFT(J45,1)="✓",1,0)))</f>
        <v/>
      </c>
    </row>
    <row r="46" customFormat="false" ht="15" hidden="false" customHeight="false" outlineLevel="0" collapsed="false">
      <c r="A46" s="3" t="s">
        <v>63</v>
      </c>
      <c r="C46" s="4" t="str">
        <f aca="false">IF(B46="","",IF(B46&gt;=25,"危機",IF(B46&gt;=15,"無秩序",IF(B46&gt;=12,"警戒",""))))</f>
        <v/>
      </c>
      <c r="E46" s="5"/>
      <c r="G46" s="4" t="str">
        <f aca="false">IF(F46="","",IF(F46&lt;=-200,"危機",IF(F46&lt;=-80,"ストレス","")))</f>
        <v/>
      </c>
      <c r="J46" s="4" t="str">
        <f aca="false">IF(I46="","",IF(I46&lt;=-100000,"✓ショート極端",IF(I46&gt;=100000,"(ロング極端)","")))</f>
        <v/>
      </c>
      <c r="K46" s="6" t="str">
        <f aca="false">IF(COUNTA(B46,D46,E46,F46,H46,I46)=0,"",(IF(C46&lt;&gt;"",1,0))+(IF(AND(E46&lt;&gt;"",N(E46)&gt;=1),1,0))+(IF(G46&lt;&gt;"",1,0))+(IF(H46=1,1,0))+(IF(LEFT(J46,1)="✓",1,0)))</f>
        <v/>
      </c>
    </row>
    <row r="47" customFormat="false" ht="15" hidden="false" customHeight="false" outlineLevel="0" collapsed="false">
      <c r="A47" s="3" t="s">
        <v>64</v>
      </c>
      <c r="C47" s="4" t="str">
        <f aca="false">IF(B47="","",IF(B47&gt;=25,"危機",IF(B47&gt;=15,"無秩序",IF(B47&gt;=12,"警戒",""))))</f>
        <v/>
      </c>
      <c r="E47" s="5"/>
      <c r="G47" s="4" t="str">
        <f aca="false">IF(F47="","",IF(F47&lt;=-200,"危機",IF(F47&lt;=-80,"ストレス","")))</f>
        <v/>
      </c>
      <c r="J47" s="4" t="str">
        <f aca="false">IF(I47="","",IF(I47&lt;=-100000,"✓ショート極端",IF(I47&gt;=100000,"(ロング極端)","")))</f>
        <v/>
      </c>
      <c r="K47" s="6" t="str">
        <f aca="false">IF(COUNTA(B47,D47,E47,F47,H47,I47)=0,"",(IF(C47&lt;&gt;"",1,0))+(IF(AND(E47&lt;&gt;"",N(E47)&gt;=1),1,0))+(IF(G47&lt;&gt;"",1,0))+(IF(H47=1,1,0))+(IF(LEFT(J47,1)="✓",1,0)))</f>
        <v/>
      </c>
    </row>
    <row r="48" customFormat="false" ht="15" hidden="false" customHeight="false" outlineLevel="0" collapsed="false">
      <c r="A48" s="3" t="s">
        <v>65</v>
      </c>
      <c r="C48" s="4" t="str">
        <f aca="false">IF(B48="","",IF(B48&gt;=25,"危機",IF(B48&gt;=15,"無秩序",IF(B48&gt;=12,"警戒",""))))</f>
        <v/>
      </c>
      <c r="E48" s="5"/>
      <c r="G48" s="4" t="str">
        <f aca="false">IF(F48="","",IF(F48&lt;=-200,"危機",IF(F48&lt;=-80,"ストレス","")))</f>
        <v/>
      </c>
      <c r="J48" s="4" t="str">
        <f aca="false">IF(I48="","",IF(I48&lt;=-100000,"✓ショート極端",IF(I48&gt;=100000,"(ロング極端)","")))</f>
        <v/>
      </c>
      <c r="K48" s="6" t="str">
        <f aca="false">IF(COUNTA(B48,D48,E48,F48,H48,I48)=0,"",(IF(C48&lt;&gt;"",1,0))+(IF(AND(E48&lt;&gt;"",N(E48)&gt;=1),1,0))+(IF(G48&lt;&gt;"",1,0))+(IF(H48=1,1,0))+(IF(LEFT(J48,1)="✓",1,0)))</f>
        <v/>
      </c>
    </row>
    <row r="49" customFormat="false" ht="15" hidden="false" customHeight="false" outlineLevel="0" collapsed="false">
      <c r="A49" s="3" t="s">
        <v>66</v>
      </c>
      <c r="C49" s="4" t="str">
        <f aca="false">IF(B49="","",IF(B49&gt;=25,"危機",IF(B49&gt;=15,"無秩序",IF(B49&gt;=12,"警戒",""))))</f>
        <v/>
      </c>
      <c r="D49" s="7" t="n">
        <v>-3</v>
      </c>
      <c r="E49" s="8" t="n">
        <v>3</v>
      </c>
      <c r="F49" s="7" t="n">
        <v>-90</v>
      </c>
      <c r="G49" s="4" t="str">
        <f aca="false">IF(F49="","",IF(F49&lt;=-200,"危機",IF(F49&lt;=-80,"ストレス","")))</f>
        <v>ストレス</v>
      </c>
      <c r="J49" s="4" t="str">
        <f aca="false">IF(I49="","",IF(I49&lt;=-100000,"✓ショート極端",IF(I49&gt;=100000,"(ロング極端)","")))</f>
        <v/>
      </c>
      <c r="K49" s="6" t="n">
        <f aca="false">IF(COUNTA(B49,D49,E49,F49,H49,I49)=0,"",(IF(C49&lt;&gt;"",1,0))+(IF(AND(E49&lt;&gt;"",N(E49)&gt;=1),1,0))+(IF(G49&lt;&gt;"",1,0))+(IF(H49=1,1,0))+(IF(LEFT(J49,1)="✓",1,0)))</f>
        <v>2</v>
      </c>
      <c r="L49" s="9" t="s">
        <v>67</v>
      </c>
    </row>
    <row r="50" customFormat="false" ht="15" hidden="false" customHeight="false" outlineLevel="0" collapsed="false">
      <c r="A50" s="3" t="s">
        <v>68</v>
      </c>
      <c r="C50" s="4" t="str">
        <f aca="false">IF(B50="","",IF(B50&gt;=25,"危機",IF(B50&gt;=15,"無秩序",IF(B50&gt;=12,"警戒",""))))</f>
        <v/>
      </c>
      <c r="E50" s="5"/>
      <c r="G50" s="4" t="str">
        <f aca="false">IF(F50="","",IF(F50&lt;=-200,"危機",IF(F50&lt;=-80,"ストレス","")))</f>
        <v/>
      </c>
      <c r="J50" s="4" t="str">
        <f aca="false">IF(I50="","",IF(I50&lt;=-100000,"✓ショート極端",IF(I50&gt;=100000,"(ロング極端)","")))</f>
        <v/>
      </c>
      <c r="K50" s="6" t="str">
        <f aca="false">IF(COUNTA(B50,D50,E50,F50,H50,I50)=0,"",(IF(C50&lt;&gt;"",1,0))+(IF(AND(E50&lt;&gt;"",N(E50)&gt;=1),1,0))+(IF(G50&lt;&gt;"",1,0))+(IF(H50=1,1,0))+(IF(LEFT(J50,1)="✓",1,0)))</f>
        <v/>
      </c>
    </row>
    <row r="51" customFormat="false" ht="15" hidden="false" customHeight="false" outlineLevel="0" collapsed="false">
      <c r="A51" s="3" t="s">
        <v>69</v>
      </c>
      <c r="C51" s="4" t="str">
        <f aca="false">IF(B51="","",IF(B51&gt;=25,"危機",IF(B51&gt;=15,"無秩序",IF(B51&gt;=12,"警戒",""))))</f>
        <v/>
      </c>
      <c r="E51" s="5"/>
      <c r="G51" s="4" t="str">
        <f aca="false">IF(F51="","",IF(F51&lt;=-200,"危機",IF(F51&lt;=-80,"ストレス","")))</f>
        <v/>
      </c>
      <c r="J51" s="4" t="str">
        <f aca="false">IF(I51="","",IF(I51&lt;=-100000,"✓ショート極端",IF(I51&gt;=100000,"(ロング極端)","")))</f>
        <v/>
      </c>
      <c r="K51" s="6" t="str">
        <f aca="false">IF(COUNTA(B51,D51,E51,F51,H51,I51)=0,"",(IF(C51&lt;&gt;"",1,0))+(IF(AND(E51&lt;&gt;"",N(E51)&gt;=1),1,0))+(IF(G51&lt;&gt;"",1,0))+(IF(H51=1,1,0))+(IF(LEFT(J51,1)="✓",1,0)))</f>
        <v/>
      </c>
    </row>
    <row r="52" customFormat="false" ht="15" hidden="false" customHeight="false" outlineLevel="0" collapsed="false">
      <c r="A52" s="3" t="s">
        <v>70</v>
      </c>
      <c r="C52" s="4" t="str">
        <f aca="false">IF(B52="","",IF(B52&gt;=25,"危機",IF(B52&gt;=15,"無秩序",IF(B52&gt;=12,"警戒",""))))</f>
        <v/>
      </c>
      <c r="E52" s="5"/>
      <c r="G52" s="4" t="str">
        <f aca="false">IF(F52="","",IF(F52&lt;=-200,"危機",IF(F52&lt;=-80,"ストレス","")))</f>
        <v/>
      </c>
      <c r="J52" s="4" t="str">
        <f aca="false">IF(I52="","",IF(I52&lt;=-100000,"✓ショート極端",IF(I52&gt;=100000,"(ロング極端)","")))</f>
        <v/>
      </c>
      <c r="K52" s="6" t="str">
        <f aca="false">IF(COUNTA(B52,D52,E52,F52,H52,I52)=0,"",(IF(C52&lt;&gt;"",1,0))+(IF(AND(E52&lt;&gt;"",N(E52)&gt;=1),1,0))+(IF(G52&lt;&gt;"",1,0))+(IF(H52=1,1,0))+(IF(LEFT(J52,1)="✓",1,0)))</f>
        <v/>
      </c>
    </row>
    <row r="53" customFormat="false" ht="15" hidden="false" customHeight="false" outlineLevel="0" collapsed="false">
      <c r="A53" s="3" t="s">
        <v>71</v>
      </c>
      <c r="C53" s="4" t="str">
        <f aca="false">IF(B53="","",IF(B53&gt;=25,"危機",IF(B53&gt;=15,"無秩序",IF(B53&gt;=12,"警戒",""))))</f>
        <v/>
      </c>
      <c r="E53" s="5"/>
      <c r="G53" s="4" t="str">
        <f aca="false">IF(F53="","",IF(F53&lt;=-200,"危機",IF(F53&lt;=-80,"ストレス","")))</f>
        <v/>
      </c>
      <c r="J53" s="4" t="str">
        <f aca="false">IF(I53="","",IF(I53&lt;=-100000,"✓ショート極端",IF(I53&gt;=100000,"(ロング極端)","")))</f>
        <v/>
      </c>
      <c r="K53" s="6" t="str">
        <f aca="false">IF(COUNTA(B53,D53,E53,F53,H53,I53)=0,"",(IF(C53&lt;&gt;"",1,0))+(IF(AND(E53&lt;&gt;"",N(E53)&gt;=1),1,0))+(IF(G53&lt;&gt;"",1,0))+(IF(H53=1,1,0))+(IF(LEFT(J53,1)="✓",1,0)))</f>
        <v/>
      </c>
    </row>
    <row r="54" customFormat="false" ht="15" hidden="false" customHeight="false" outlineLevel="0" collapsed="false">
      <c r="A54" s="3" t="s">
        <v>72</v>
      </c>
      <c r="C54" s="4" t="str">
        <f aca="false">IF(B54="","",IF(B54&gt;=25,"危機",IF(B54&gt;=15,"無秩序",IF(B54&gt;=12,"警戒",""))))</f>
        <v/>
      </c>
      <c r="E54" s="5"/>
      <c r="G54" s="4" t="str">
        <f aca="false">IF(F54="","",IF(F54&lt;=-200,"危機",IF(F54&lt;=-80,"ストレス","")))</f>
        <v/>
      </c>
      <c r="J54" s="4" t="str">
        <f aca="false">IF(I54="","",IF(I54&lt;=-100000,"✓ショート極端",IF(I54&gt;=100000,"(ロング極端)","")))</f>
        <v/>
      </c>
      <c r="K54" s="6" t="str">
        <f aca="false">IF(COUNTA(B54,D54,E54,F54,H54,I54)=0,"",(IF(C54&lt;&gt;"",1,0))+(IF(AND(E54&lt;&gt;"",N(E54)&gt;=1),1,0))+(IF(G54&lt;&gt;"",1,0))+(IF(H54=1,1,0))+(IF(LEFT(J54,1)="✓",1,0)))</f>
        <v/>
      </c>
    </row>
    <row r="55" customFormat="false" ht="15" hidden="false" customHeight="false" outlineLevel="0" collapsed="false">
      <c r="A55" s="3" t="s">
        <v>73</v>
      </c>
      <c r="C55" s="4" t="str">
        <f aca="false">IF(B55="","",IF(B55&gt;=25,"危機",IF(B55&gt;=15,"無秩序",IF(B55&gt;=12,"警戒",""))))</f>
        <v/>
      </c>
      <c r="E55" s="5"/>
      <c r="G55" s="4" t="str">
        <f aca="false">IF(F55="","",IF(F55&lt;=-200,"危機",IF(F55&lt;=-80,"ストレス","")))</f>
        <v/>
      </c>
      <c r="J55" s="4" t="str">
        <f aca="false">IF(I55="","",IF(I55&lt;=-100000,"✓ショート極端",IF(I55&gt;=100000,"(ロング極端)","")))</f>
        <v/>
      </c>
      <c r="K55" s="6" t="str">
        <f aca="false">IF(COUNTA(B55,D55,E55,F55,H55,I55)=0,"",(IF(C55&lt;&gt;"",1,0))+(IF(AND(E55&lt;&gt;"",N(E55)&gt;=1),1,0))+(IF(G55&lt;&gt;"",1,0))+(IF(H55=1,1,0))+(IF(LEFT(J55,1)="✓",1,0)))</f>
        <v/>
      </c>
    </row>
    <row r="56" customFormat="false" ht="15" hidden="false" customHeight="false" outlineLevel="0" collapsed="false">
      <c r="A56" s="3" t="s">
        <v>74</v>
      </c>
      <c r="C56" s="4" t="str">
        <f aca="false">IF(B56="","",IF(B56&gt;=25,"危機",IF(B56&gt;=15,"無秩序",IF(B56&gt;=12,"警戒",""))))</f>
        <v/>
      </c>
      <c r="E56" s="5"/>
      <c r="G56" s="4" t="str">
        <f aca="false">IF(F56="","",IF(F56&lt;=-200,"危機",IF(F56&lt;=-80,"ストレス","")))</f>
        <v/>
      </c>
      <c r="J56" s="4" t="str">
        <f aca="false">IF(I56="","",IF(I56&lt;=-100000,"✓ショート極端",IF(I56&gt;=100000,"(ロング極端)","")))</f>
        <v/>
      </c>
      <c r="K56" s="6" t="str">
        <f aca="false">IF(COUNTA(B56,D56,E56,F56,H56,I56)=0,"",(IF(C56&lt;&gt;"",1,0))+(IF(AND(E56&lt;&gt;"",N(E56)&gt;=1),1,0))+(IF(G56&lt;&gt;"",1,0))+(IF(H56=1,1,0))+(IF(LEFT(J56,1)="✓",1,0)))</f>
        <v/>
      </c>
    </row>
    <row r="57" customFormat="false" ht="15" hidden="false" customHeight="false" outlineLevel="0" collapsed="false">
      <c r="A57" s="3" t="s">
        <v>75</v>
      </c>
      <c r="C57" s="4" t="str">
        <f aca="false">IF(B57="","",IF(B57&gt;=25,"危機",IF(B57&gt;=15,"無秩序",IF(B57&gt;=12,"警戒",""))))</f>
        <v/>
      </c>
      <c r="E57" s="5"/>
      <c r="G57" s="4" t="str">
        <f aca="false">IF(F57="","",IF(F57&lt;=-200,"危機",IF(F57&lt;=-80,"ストレス","")))</f>
        <v/>
      </c>
      <c r="J57" s="4" t="str">
        <f aca="false">IF(I57="","",IF(I57&lt;=-100000,"✓ショート極端",IF(I57&gt;=100000,"(ロング極端)","")))</f>
        <v/>
      </c>
      <c r="K57" s="6" t="str">
        <f aca="false">IF(COUNTA(B57,D57,E57,F57,H57,I57)=0,"",(IF(C57&lt;&gt;"",1,0))+(IF(AND(E57&lt;&gt;"",N(E57)&gt;=1),1,0))+(IF(G57&lt;&gt;"",1,0))+(IF(H57=1,1,0))+(IF(LEFT(J57,1)="✓",1,0)))</f>
        <v/>
      </c>
    </row>
    <row r="58" customFormat="false" ht="15" hidden="false" customHeight="false" outlineLevel="0" collapsed="false">
      <c r="A58" s="3" t="s">
        <v>76</v>
      </c>
      <c r="C58" s="4" t="str">
        <f aca="false">IF(B58="","",IF(B58&gt;=25,"危機",IF(B58&gt;=15,"無秩序",IF(B58&gt;=12,"警戒",""))))</f>
        <v/>
      </c>
      <c r="E58" s="5"/>
      <c r="G58" s="4" t="str">
        <f aca="false">IF(F58="","",IF(F58&lt;=-200,"危機",IF(F58&lt;=-80,"ストレス","")))</f>
        <v/>
      </c>
      <c r="J58" s="4" t="str">
        <f aca="false">IF(I58="","",IF(I58&lt;=-100000,"✓ショート極端",IF(I58&gt;=100000,"(ロング極端)","")))</f>
        <v/>
      </c>
      <c r="K58" s="6" t="str">
        <f aca="false">IF(COUNTA(B58,D58,E58,F58,H58,I58)=0,"",(IF(C58&lt;&gt;"",1,0))+(IF(AND(E58&lt;&gt;"",N(E58)&gt;=1),1,0))+(IF(G58&lt;&gt;"",1,0))+(IF(H58=1,1,0))+(IF(LEFT(J58,1)="✓",1,0)))</f>
        <v/>
      </c>
    </row>
    <row r="59" customFormat="false" ht="15" hidden="false" customHeight="false" outlineLevel="0" collapsed="false">
      <c r="A59" s="3" t="s">
        <v>77</v>
      </c>
      <c r="C59" s="4" t="str">
        <f aca="false">IF(B59="","",IF(B59&gt;=25,"危機",IF(B59&gt;=15,"無秩序",IF(B59&gt;=12,"警戒",""))))</f>
        <v/>
      </c>
      <c r="E59" s="5"/>
      <c r="G59" s="4" t="str">
        <f aca="false">IF(F59="","",IF(F59&lt;=-200,"危機",IF(F59&lt;=-80,"ストレス","")))</f>
        <v/>
      </c>
      <c r="J59" s="4" t="str">
        <f aca="false">IF(I59="","",IF(I59&lt;=-100000,"✓ショート極端",IF(I59&gt;=100000,"(ロング極端)","")))</f>
        <v/>
      </c>
      <c r="K59" s="6" t="str">
        <f aca="false">IF(COUNTA(B59,D59,E59,F59,H59,I59)=0,"",(IF(C59&lt;&gt;"",1,0))+(IF(AND(E59&lt;&gt;"",N(E59)&gt;=1),1,0))+(IF(G59&lt;&gt;"",1,0))+(IF(H59=1,1,0))+(IF(LEFT(J59,1)="✓",1,0)))</f>
        <v/>
      </c>
    </row>
    <row r="60" customFormat="false" ht="15" hidden="false" customHeight="false" outlineLevel="0" collapsed="false">
      <c r="A60" s="3" t="s">
        <v>78</v>
      </c>
      <c r="C60" s="4" t="str">
        <f aca="false">IF(B60="","",IF(B60&gt;=25,"危機",IF(B60&gt;=15,"無秩序",IF(B60&gt;=12,"警戒",""))))</f>
        <v/>
      </c>
      <c r="E60" s="5"/>
      <c r="G60" s="4" t="str">
        <f aca="false">IF(F60="","",IF(F60&lt;=-200,"危機",IF(F60&lt;=-80,"ストレス","")))</f>
        <v/>
      </c>
      <c r="J60" s="4" t="str">
        <f aca="false">IF(I60="","",IF(I60&lt;=-100000,"✓ショート極端",IF(I60&gt;=100000,"(ロング極端)","")))</f>
        <v/>
      </c>
      <c r="K60" s="6" t="str">
        <f aca="false">IF(COUNTA(B60,D60,E60,F60,H60,I60)=0,"",(IF(C60&lt;&gt;"",1,0))+(IF(AND(E60&lt;&gt;"",N(E60)&gt;=1),1,0))+(IF(G60&lt;&gt;"",1,0))+(IF(H60=1,1,0))+(IF(LEFT(J60,1)="✓",1,0)))</f>
        <v/>
      </c>
    </row>
    <row r="61" customFormat="false" ht="15" hidden="false" customHeight="false" outlineLevel="0" collapsed="false">
      <c r="A61" s="3" t="s">
        <v>79</v>
      </c>
      <c r="C61" s="4" t="str">
        <f aca="false">IF(B61="","",IF(B61&gt;=25,"危機",IF(B61&gt;=15,"無秩序",IF(B61&gt;=12,"警戒",""))))</f>
        <v/>
      </c>
      <c r="E61" s="5"/>
      <c r="G61" s="4" t="str">
        <f aca="false">IF(F61="","",IF(F61&lt;=-200,"危機",IF(F61&lt;=-80,"ストレス","")))</f>
        <v/>
      </c>
      <c r="J61" s="4" t="str">
        <f aca="false">IF(I61="","",IF(I61&lt;=-100000,"✓ショート極端",IF(I61&gt;=100000,"(ロング極端)","")))</f>
        <v/>
      </c>
      <c r="K61" s="6" t="str">
        <f aca="false">IF(COUNTA(B61,D61,E61,F61,H61,I61)=0,"",(IF(C61&lt;&gt;"",1,0))+(IF(AND(E61&lt;&gt;"",N(E61)&gt;=1),1,0))+(IF(G61&lt;&gt;"",1,0))+(IF(H61=1,1,0))+(IF(LEFT(J61,1)="✓",1,0)))</f>
        <v/>
      </c>
    </row>
    <row r="62" customFormat="false" ht="15" hidden="false" customHeight="false" outlineLevel="0" collapsed="false">
      <c r="A62" s="3" t="s">
        <v>80</v>
      </c>
      <c r="C62" s="4" t="str">
        <f aca="false">IF(B62="","",IF(B62&gt;=25,"危機",IF(B62&gt;=15,"無秩序",IF(B62&gt;=12,"警戒",""))))</f>
        <v/>
      </c>
      <c r="E62" s="5"/>
      <c r="G62" s="4" t="str">
        <f aca="false">IF(F62="","",IF(F62&lt;=-200,"危機",IF(F62&lt;=-80,"ストレス","")))</f>
        <v/>
      </c>
      <c r="J62" s="4" t="str">
        <f aca="false">IF(I62="","",IF(I62&lt;=-100000,"✓ショート極端",IF(I62&gt;=100000,"(ロング極端)","")))</f>
        <v/>
      </c>
      <c r="K62" s="6" t="str">
        <f aca="false">IF(COUNTA(B62,D62,E62,F62,H62,I62)=0,"",(IF(C62&lt;&gt;"",1,0))+(IF(AND(E62&lt;&gt;"",N(E62)&gt;=1),1,0))+(IF(G62&lt;&gt;"",1,0))+(IF(H62=1,1,0))+(IF(LEFT(J62,1)="✓",1,0)))</f>
        <v/>
      </c>
    </row>
    <row r="63" customFormat="false" ht="15" hidden="false" customHeight="false" outlineLevel="0" collapsed="false">
      <c r="A63" s="3" t="s">
        <v>81</v>
      </c>
      <c r="C63" s="4" t="str">
        <f aca="false">IF(B63="","",IF(B63&gt;=25,"危機",IF(B63&gt;=15,"無秩序",IF(B63&gt;=12,"警戒",""))))</f>
        <v/>
      </c>
      <c r="E63" s="5"/>
      <c r="G63" s="4" t="str">
        <f aca="false">IF(F63="","",IF(F63&lt;=-200,"危機",IF(F63&lt;=-80,"ストレス","")))</f>
        <v/>
      </c>
      <c r="J63" s="4" t="str">
        <f aca="false">IF(I63="","",IF(I63&lt;=-100000,"✓ショート極端",IF(I63&gt;=100000,"(ロング極端)","")))</f>
        <v/>
      </c>
      <c r="K63" s="6" t="str">
        <f aca="false">IF(COUNTA(B63,D63,E63,F63,H63,I63)=0,"",(IF(C63&lt;&gt;"",1,0))+(IF(AND(E63&lt;&gt;"",N(E63)&gt;=1),1,0))+(IF(G63&lt;&gt;"",1,0))+(IF(H63=1,1,0))+(IF(LEFT(J63,1)="✓",1,0)))</f>
        <v/>
      </c>
    </row>
    <row r="64" customFormat="false" ht="15" hidden="false" customHeight="false" outlineLevel="0" collapsed="false">
      <c r="A64" s="3" t="s">
        <v>82</v>
      </c>
      <c r="C64" s="4" t="str">
        <f aca="false">IF(B64="","",IF(B64&gt;=25,"危機",IF(B64&gt;=15,"無秩序",IF(B64&gt;=12,"警戒",""))))</f>
        <v/>
      </c>
      <c r="E64" s="5"/>
      <c r="G64" s="4" t="str">
        <f aca="false">IF(F64="","",IF(F64&lt;=-200,"危機",IF(F64&lt;=-80,"ストレス","")))</f>
        <v/>
      </c>
      <c r="J64" s="4" t="str">
        <f aca="false">IF(I64="","",IF(I64&lt;=-100000,"✓ショート極端",IF(I64&gt;=100000,"(ロング極端)","")))</f>
        <v/>
      </c>
      <c r="K64" s="6" t="str">
        <f aca="false">IF(COUNTA(B64,D64,E64,F64,H64,I64)=0,"",(IF(C64&lt;&gt;"",1,0))+(IF(AND(E64&lt;&gt;"",N(E64)&gt;=1),1,0))+(IF(G64&lt;&gt;"",1,0))+(IF(H64=1,1,0))+(IF(LEFT(J64,1)="✓",1,0)))</f>
        <v/>
      </c>
    </row>
    <row r="65" customFormat="false" ht="15" hidden="false" customHeight="false" outlineLevel="0" collapsed="false">
      <c r="A65" s="3" t="s">
        <v>83</v>
      </c>
      <c r="C65" s="4" t="str">
        <f aca="false">IF(B65="","",IF(B65&gt;=25,"危機",IF(B65&gt;=15,"無秩序",IF(B65&gt;=12,"警戒",""))))</f>
        <v/>
      </c>
      <c r="E65" s="5"/>
      <c r="G65" s="4" t="str">
        <f aca="false">IF(F65="","",IF(F65&lt;=-200,"危機",IF(F65&lt;=-80,"ストレス","")))</f>
        <v/>
      </c>
      <c r="J65" s="4" t="str">
        <f aca="false">IF(I65="","",IF(I65&lt;=-100000,"✓ショート極端",IF(I65&gt;=100000,"(ロング極端)","")))</f>
        <v/>
      </c>
      <c r="K65" s="6" t="str">
        <f aca="false">IF(COUNTA(B65,D65,E65,F65,H65,I65)=0,"",(IF(C65&lt;&gt;"",1,0))+(IF(AND(E65&lt;&gt;"",N(E65)&gt;=1),1,0))+(IF(G65&lt;&gt;"",1,0))+(IF(H65=1,1,0))+(IF(LEFT(J65,1)="✓",1,0)))</f>
        <v/>
      </c>
    </row>
    <row r="66" customFormat="false" ht="15" hidden="false" customHeight="false" outlineLevel="0" collapsed="false">
      <c r="A66" s="3" t="s">
        <v>84</v>
      </c>
      <c r="C66" s="4" t="str">
        <f aca="false">IF(B66="","",IF(B66&gt;=25,"危機",IF(B66&gt;=15,"無秩序",IF(B66&gt;=12,"警戒",""))))</f>
        <v/>
      </c>
      <c r="E66" s="5"/>
      <c r="G66" s="4" t="str">
        <f aca="false">IF(F66="","",IF(F66&lt;=-200,"危機",IF(F66&lt;=-80,"ストレス","")))</f>
        <v/>
      </c>
      <c r="J66" s="4" t="str">
        <f aca="false">IF(I66="","",IF(I66&lt;=-100000,"✓ショート極端",IF(I66&gt;=100000,"(ロング極端)","")))</f>
        <v/>
      </c>
      <c r="K66" s="6" t="str">
        <f aca="false">IF(COUNTA(B66,D66,E66,F66,H66,I66)=0,"",(IF(C66&lt;&gt;"",1,0))+(IF(AND(E66&lt;&gt;"",N(E66)&gt;=1),1,0))+(IF(G66&lt;&gt;"",1,0))+(IF(H66=1,1,0))+(IF(LEFT(J66,1)="✓",1,0)))</f>
        <v/>
      </c>
    </row>
    <row r="67" customFormat="false" ht="15" hidden="false" customHeight="false" outlineLevel="0" collapsed="false">
      <c r="A67" s="3" t="s">
        <v>85</v>
      </c>
      <c r="C67" s="4" t="str">
        <f aca="false">IF(B67="","",IF(B67&gt;=25,"危機",IF(B67&gt;=15,"無秩序",IF(B67&gt;=12,"警戒",""))))</f>
        <v/>
      </c>
      <c r="E67" s="5"/>
      <c r="F67" s="7" t="n">
        <v>-25</v>
      </c>
      <c r="G67" s="4" t="str">
        <f aca="false">IF(F67="","",IF(F67&lt;=-200,"危機",IF(F67&lt;=-80,"ストレス","")))</f>
        <v/>
      </c>
      <c r="J67" s="4" t="str">
        <f aca="false">IF(I67="","",IF(I67&lt;=-100000,"✓ショート極端",IF(I67&gt;=100000,"(ロング極端)","")))</f>
        <v/>
      </c>
      <c r="K67" s="6" t="n">
        <f aca="false">IF(COUNTA(B67,D67,E67,F67,H67,I67)=0,"",(IF(C67&lt;&gt;"",1,0))+(IF(AND(E67&lt;&gt;"",N(E67)&gt;=1),1,0))+(IF(G67&lt;&gt;"",1,0))+(IF(H67=1,1,0))+(IF(LEFT(J67,1)="✓",1,0)))</f>
        <v>0</v>
      </c>
      <c r="L67" s="10" t="s">
        <v>86</v>
      </c>
    </row>
    <row r="68" customFormat="false" ht="15" hidden="false" customHeight="false" outlineLevel="0" collapsed="false">
      <c r="A68" s="3" t="s">
        <v>87</v>
      </c>
      <c r="C68" s="4" t="str">
        <f aca="false">IF(B68="","",IF(B68&gt;=25,"危機",IF(B68&gt;=15,"無秩序",IF(B68&gt;=12,"警戒",""))))</f>
        <v/>
      </c>
      <c r="E68" s="5"/>
      <c r="G68" s="4" t="str">
        <f aca="false">IF(F68="","",IF(F68&lt;=-200,"危機",IF(F68&lt;=-80,"ストレス","")))</f>
        <v/>
      </c>
      <c r="J68" s="4" t="str">
        <f aca="false">IF(I68="","",IF(I68&lt;=-100000,"✓ショート極端",IF(I68&gt;=100000,"(ロング極端)","")))</f>
        <v/>
      </c>
      <c r="K68" s="6" t="str">
        <f aca="false">IF(COUNTA(B68,D68,E68,F68,H68,I68)=0,"",(IF(C68&lt;&gt;"",1,0))+(IF(AND(E68&lt;&gt;"",N(E68)&gt;=1),1,0))+(IF(G68&lt;&gt;"",1,0))+(IF(H68=1,1,0))+(IF(LEFT(J68,1)="✓",1,0)))</f>
        <v/>
      </c>
    </row>
    <row r="69" customFormat="false" ht="15" hidden="false" customHeight="false" outlineLevel="0" collapsed="false">
      <c r="A69" s="3" t="s">
        <v>88</v>
      </c>
      <c r="C69" s="4" t="str">
        <f aca="false">IF(B69="","",IF(B69&gt;=25,"危機",IF(B69&gt;=15,"無秩序",IF(B69&gt;=12,"警戒",""))))</f>
        <v/>
      </c>
      <c r="E69" s="5"/>
      <c r="G69" s="4" t="str">
        <f aca="false">IF(F69="","",IF(F69&lt;=-200,"危機",IF(F69&lt;=-80,"ストレス","")))</f>
        <v/>
      </c>
      <c r="J69" s="4" t="str">
        <f aca="false">IF(I69="","",IF(I69&lt;=-100000,"✓ショート極端",IF(I69&gt;=100000,"(ロング極端)","")))</f>
        <v/>
      </c>
      <c r="K69" s="6" t="str">
        <f aca="false">IF(COUNTA(B69,D69,E69,F69,H69,I69)=0,"",(IF(C69&lt;&gt;"",1,0))+(IF(AND(E69&lt;&gt;"",N(E69)&gt;=1),1,0))+(IF(G69&lt;&gt;"",1,0))+(IF(H69=1,1,0))+(IF(LEFT(J69,1)="✓",1,0)))</f>
        <v/>
      </c>
    </row>
    <row r="70" customFormat="false" ht="15" hidden="false" customHeight="false" outlineLevel="0" collapsed="false">
      <c r="A70" s="3" t="s">
        <v>89</v>
      </c>
      <c r="C70" s="4" t="str">
        <f aca="false">IF(B70="","",IF(B70&gt;=25,"危機",IF(B70&gt;=15,"無秩序",IF(B70&gt;=12,"警戒",""))))</f>
        <v/>
      </c>
      <c r="E70" s="5"/>
      <c r="G70" s="4" t="str">
        <f aca="false">IF(F70="","",IF(F70&lt;=-200,"危機",IF(F70&lt;=-80,"ストレス","")))</f>
        <v/>
      </c>
      <c r="J70" s="4" t="str">
        <f aca="false">IF(I70="","",IF(I70&lt;=-100000,"✓ショート極端",IF(I70&gt;=100000,"(ロング極端)","")))</f>
        <v/>
      </c>
      <c r="K70" s="6" t="str">
        <f aca="false">IF(COUNTA(B70,D70,E70,F70,H70,I70)=0,"",(IF(C70&lt;&gt;"",1,0))+(IF(AND(E70&lt;&gt;"",N(E70)&gt;=1),1,0))+(IF(G70&lt;&gt;"",1,0))+(IF(H70=1,1,0))+(IF(LEFT(J70,1)="✓",1,0)))</f>
        <v/>
      </c>
    </row>
    <row r="71" customFormat="false" ht="15" hidden="false" customHeight="false" outlineLevel="0" collapsed="false">
      <c r="A71" s="3" t="s">
        <v>90</v>
      </c>
      <c r="C71" s="4" t="str">
        <f aca="false">IF(B71="","",IF(B71&gt;=25,"危機",IF(B71&gt;=15,"無秩序",IF(B71&gt;=12,"警戒",""))))</f>
        <v/>
      </c>
      <c r="E71" s="5"/>
      <c r="G71" s="4" t="str">
        <f aca="false">IF(F71="","",IF(F71&lt;=-200,"危機",IF(F71&lt;=-80,"ストレス","")))</f>
        <v/>
      </c>
      <c r="J71" s="4" t="str">
        <f aca="false">IF(I71="","",IF(I71&lt;=-100000,"✓ショート極端",IF(I71&gt;=100000,"(ロング極端)","")))</f>
        <v/>
      </c>
      <c r="K71" s="6" t="str">
        <f aca="false">IF(COUNTA(B71,D71,E71,F71,H71,I71)=0,"",(IF(C71&lt;&gt;"",1,0))+(IF(AND(E71&lt;&gt;"",N(E71)&gt;=1),1,0))+(IF(G71&lt;&gt;"",1,0))+(IF(H71=1,1,0))+(IF(LEFT(J71,1)="✓",1,0)))</f>
        <v/>
      </c>
    </row>
    <row r="72" customFormat="false" ht="15" hidden="false" customHeight="false" outlineLevel="0" collapsed="false">
      <c r="A72" s="3" t="s">
        <v>91</v>
      </c>
      <c r="C72" s="4" t="str">
        <f aca="false">IF(B72="","",IF(B72&gt;=25,"危機",IF(B72&gt;=15,"無秩序",IF(B72&gt;=12,"警戒",""))))</f>
        <v/>
      </c>
      <c r="E72" s="5"/>
      <c r="G72" s="4" t="str">
        <f aca="false">IF(F72="","",IF(F72&lt;=-200,"危機",IF(F72&lt;=-80,"ストレス","")))</f>
        <v/>
      </c>
      <c r="J72" s="4" t="str">
        <f aca="false">IF(I72="","",IF(I72&lt;=-100000,"✓ショート極端",IF(I72&gt;=100000,"(ロング極端)","")))</f>
        <v/>
      </c>
      <c r="K72" s="6" t="str">
        <f aca="false">IF(COUNTA(B72,D72,E72,F72,H72,I72)=0,"",(IF(C72&lt;&gt;"",1,0))+(IF(AND(E72&lt;&gt;"",N(E72)&gt;=1),1,0))+(IF(G72&lt;&gt;"",1,0))+(IF(H72=1,1,0))+(IF(LEFT(J72,1)="✓",1,0)))</f>
        <v/>
      </c>
    </row>
    <row r="73" customFormat="false" ht="15" hidden="false" customHeight="false" outlineLevel="0" collapsed="false">
      <c r="A73" s="3" t="s">
        <v>92</v>
      </c>
      <c r="C73" s="4" t="str">
        <f aca="false">IF(B73="","",IF(B73&gt;=25,"危機",IF(B73&gt;=15,"無秩序",IF(B73&gt;=12,"警戒",""))))</f>
        <v/>
      </c>
      <c r="E73" s="5"/>
      <c r="G73" s="4" t="str">
        <f aca="false">IF(F73="","",IF(F73&lt;=-200,"危機",IF(F73&lt;=-80,"ストレス","")))</f>
        <v/>
      </c>
      <c r="J73" s="4" t="str">
        <f aca="false">IF(I73="","",IF(I73&lt;=-100000,"✓ショート極端",IF(I73&gt;=100000,"(ロング極端)","")))</f>
        <v/>
      </c>
      <c r="K73" s="6" t="str">
        <f aca="false">IF(COUNTA(B73,D73,E73,F73,H73,I73)=0,"",(IF(C73&lt;&gt;"",1,0))+(IF(AND(E73&lt;&gt;"",N(E73)&gt;=1),1,0))+(IF(G73&lt;&gt;"",1,0))+(IF(H73=1,1,0))+(IF(LEFT(J73,1)="✓",1,0)))</f>
        <v/>
      </c>
    </row>
    <row r="74" customFormat="false" ht="15" hidden="false" customHeight="false" outlineLevel="0" collapsed="false">
      <c r="A74" s="3" t="s">
        <v>93</v>
      </c>
      <c r="C74" s="4" t="str">
        <f aca="false">IF(B74="","",IF(B74&gt;=25,"危機",IF(B74&gt;=15,"無秩序",IF(B74&gt;=12,"警戒",""))))</f>
        <v/>
      </c>
      <c r="E74" s="5"/>
      <c r="G74" s="4" t="str">
        <f aca="false">IF(F74="","",IF(F74&lt;=-200,"危機",IF(F74&lt;=-80,"ストレス","")))</f>
        <v/>
      </c>
      <c r="J74" s="4" t="str">
        <f aca="false">IF(I74="","",IF(I74&lt;=-100000,"✓ショート極端",IF(I74&gt;=100000,"(ロング極端)","")))</f>
        <v/>
      </c>
      <c r="K74" s="6" t="str">
        <f aca="false">IF(COUNTA(B74,D74,E74,F74,H74,I74)=0,"",(IF(C74&lt;&gt;"",1,0))+(IF(AND(E74&lt;&gt;"",N(E74)&gt;=1),1,0))+(IF(G74&lt;&gt;"",1,0))+(IF(H74=1,1,0))+(IF(LEFT(J74,1)="✓",1,0)))</f>
        <v/>
      </c>
    </row>
    <row r="75" customFormat="false" ht="15" hidden="false" customHeight="false" outlineLevel="0" collapsed="false">
      <c r="A75" s="3" t="s">
        <v>94</v>
      </c>
      <c r="C75" s="4" t="str">
        <f aca="false">IF(B75="","",IF(B75&gt;=25,"危機",IF(B75&gt;=15,"無秩序",IF(B75&gt;=12,"警戒",""))))</f>
        <v/>
      </c>
      <c r="E75" s="5"/>
      <c r="G75" s="4" t="str">
        <f aca="false">IF(F75="","",IF(F75&lt;=-200,"危機",IF(F75&lt;=-80,"ストレス","")))</f>
        <v/>
      </c>
      <c r="J75" s="4" t="str">
        <f aca="false">IF(I75="","",IF(I75&lt;=-100000,"✓ショート極端",IF(I75&gt;=100000,"(ロング極端)","")))</f>
        <v/>
      </c>
      <c r="K75" s="6" t="str">
        <f aca="false">IF(COUNTA(B75,D75,E75,F75,H75,I75)=0,"",(IF(C75&lt;&gt;"",1,0))+(IF(AND(E75&lt;&gt;"",N(E75)&gt;=1),1,0))+(IF(G75&lt;&gt;"",1,0))+(IF(H75=1,1,0))+(IF(LEFT(J75,1)="✓",1,0)))</f>
        <v/>
      </c>
    </row>
    <row r="76" customFormat="false" ht="15" hidden="false" customHeight="false" outlineLevel="0" collapsed="false">
      <c r="A76" s="3" t="s">
        <v>95</v>
      </c>
      <c r="C76" s="4" t="str">
        <f aca="false">IF(B76="","",IF(B76&gt;=25,"危機",IF(B76&gt;=15,"無秩序",IF(B76&gt;=12,"警戒",""))))</f>
        <v/>
      </c>
      <c r="E76" s="5"/>
      <c r="G76" s="4" t="str">
        <f aca="false">IF(F76="","",IF(F76&lt;=-200,"危機",IF(F76&lt;=-80,"ストレス","")))</f>
        <v/>
      </c>
      <c r="J76" s="4" t="str">
        <f aca="false">IF(I76="","",IF(I76&lt;=-100000,"✓ショート極端",IF(I76&gt;=100000,"(ロング極端)","")))</f>
        <v/>
      </c>
      <c r="K76" s="6" t="str">
        <f aca="false">IF(COUNTA(B76,D76,E76,F76,H76,I76)=0,"",(IF(C76&lt;&gt;"",1,0))+(IF(AND(E76&lt;&gt;"",N(E76)&gt;=1),1,0))+(IF(G76&lt;&gt;"",1,0))+(IF(H76=1,1,0))+(IF(LEFT(J76,1)="✓",1,0)))</f>
        <v/>
      </c>
    </row>
    <row r="77" customFormat="false" ht="15" hidden="false" customHeight="false" outlineLevel="0" collapsed="false">
      <c r="A77" s="3" t="s">
        <v>96</v>
      </c>
      <c r="C77" s="4" t="str">
        <f aca="false">IF(B77="","",IF(B77&gt;=25,"危機",IF(B77&gt;=15,"無秩序",IF(B77&gt;=12,"警戒",""))))</f>
        <v/>
      </c>
      <c r="E77" s="5"/>
      <c r="G77" s="4" t="str">
        <f aca="false">IF(F77="","",IF(F77&lt;=-200,"危機",IF(F77&lt;=-80,"ストレス","")))</f>
        <v/>
      </c>
      <c r="J77" s="4" t="str">
        <f aca="false">IF(I77="","",IF(I77&lt;=-100000,"✓ショート極端",IF(I77&gt;=100000,"(ロング極端)","")))</f>
        <v/>
      </c>
      <c r="K77" s="6" t="str">
        <f aca="false">IF(COUNTA(B77,D77,E77,F77,H77,I77)=0,"",(IF(C77&lt;&gt;"",1,0))+(IF(AND(E77&lt;&gt;"",N(E77)&gt;=1),1,0))+(IF(G77&lt;&gt;"",1,0))+(IF(H77=1,1,0))+(IF(LEFT(J77,1)="✓",1,0)))</f>
        <v/>
      </c>
    </row>
    <row r="78" customFormat="false" ht="15" hidden="false" customHeight="false" outlineLevel="0" collapsed="false">
      <c r="A78" s="3" t="s">
        <v>97</v>
      </c>
      <c r="C78" s="4" t="str">
        <f aca="false">IF(B78="","",IF(B78&gt;=25,"危機",IF(B78&gt;=15,"無秩序",IF(B78&gt;=12,"警戒",""))))</f>
        <v/>
      </c>
      <c r="E78" s="5"/>
      <c r="G78" s="4" t="str">
        <f aca="false">IF(F78="","",IF(F78&lt;=-200,"危機",IF(F78&lt;=-80,"ストレス","")))</f>
        <v/>
      </c>
      <c r="J78" s="4" t="str">
        <f aca="false">IF(I78="","",IF(I78&lt;=-100000,"✓ショート極端",IF(I78&gt;=100000,"(ロング極端)","")))</f>
        <v/>
      </c>
      <c r="K78" s="6" t="str">
        <f aca="false">IF(COUNTA(B78,D78,E78,F78,H78,I78)=0,"",(IF(C78&lt;&gt;"",1,0))+(IF(AND(E78&lt;&gt;"",N(E78)&gt;=1),1,0))+(IF(G78&lt;&gt;"",1,0))+(IF(H78=1,1,0))+(IF(LEFT(J78,1)="✓",1,0)))</f>
        <v/>
      </c>
    </row>
    <row r="79" customFormat="false" ht="15" hidden="false" customHeight="false" outlineLevel="0" collapsed="false">
      <c r="A79" s="3" t="s">
        <v>98</v>
      </c>
      <c r="C79" s="4" t="str">
        <f aca="false">IF(B79="","",IF(B79&gt;=25,"危機",IF(B79&gt;=15,"無秩序",IF(B79&gt;=12,"警戒",""))))</f>
        <v/>
      </c>
      <c r="E79" s="5"/>
      <c r="G79" s="4" t="str">
        <f aca="false">IF(F79="","",IF(F79&lt;=-200,"危機",IF(F79&lt;=-80,"ストレス","")))</f>
        <v/>
      </c>
      <c r="J79" s="4" t="str">
        <f aca="false">IF(I79="","",IF(I79&lt;=-100000,"✓ショート極端",IF(I79&gt;=100000,"(ロング極端)","")))</f>
        <v/>
      </c>
      <c r="K79" s="6" t="str">
        <f aca="false">IF(COUNTA(B79,D79,E79,F79,H79,I79)=0,"",(IF(C79&lt;&gt;"",1,0))+(IF(AND(E79&lt;&gt;"",N(E79)&gt;=1),1,0))+(IF(G79&lt;&gt;"",1,0))+(IF(H79=1,1,0))+(IF(LEFT(J79,1)="✓",1,0)))</f>
        <v/>
      </c>
    </row>
    <row r="80" customFormat="false" ht="15" hidden="false" customHeight="false" outlineLevel="0" collapsed="false">
      <c r="A80" s="3" t="s">
        <v>99</v>
      </c>
      <c r="C80" s="4" t="str">
        <f aca="false">IF(B80="","",IF(B80&gt;=25,"危機",IF(B80&gt;=15,"無秩序",IF(B80&gt;=12,"警戒",""))))</f>
        <v/>
      </c>
      <c r="E80" s="8" t="n">
        <v>1</v>
      </c>
      <c r="G80" s="4" t="str">
        <f aca="false">IF(F80="","",IF(F80&lt;=-200,"危機",IF(F80&lt;=-80,"ストレス","")))</f>
        <v/>
      </c>
      <c r="I80" s="7" t="n">
        <v>-102618</v>
      </c>
      <c r="J80" s="4" t="str">
        <f aca="false">IF(I80="","",IF(I80&lt;=-100000,"✓ショート極端",IF(I80&gt;=100000,"(ロング極端)","")))</f>
        <v>✓ショート極端</v>
      </c>
      <c r="K80" s="6" t="n">
        <f aca="false">IF(COUNTA(B80,D80,E80,F80,H80,I80)=0,"",(IF(C80&lt;&gt;"",1,0))+(IF(AND(E80&lt;&gt;"",N(E80)&gt;=1),1,0))+(IF(G80&lt;&gt;"",1,0))+(IF(H80=1,1,0))+(IF(LEFT(J80,1)="✓",1,0)))</f>
        <v>2</v>
      </c>
      <c r="L80" s="10" t="s">
        <v>100</v>
      </c>
    </row>
    <row r="81" customFormat="false" ht="15" hidden="false" customHeight="false" outlineLevel="0" collapsed="false">
      <c r="A81" s="3" t="s">
        <v>101</v>
      </c>
      <c r="C81" s="4" t="str">
        <f aca="false">IF(B81="","",IF(B81&gt;=25,"危機",IF(B81&gt;=15,"無秩序",IF(B81&gt;=12,"警戒",""))))</f>
        <v/>
      </c>
      <c r="E81" s="5"/>
      <c r="G81" s="4" t="str">
        <f aca="false">IF(F81="","",IF(F81&lt;=-200,"危機",IF(F81&lt;=-80,"ストレス","")))</f>
        <v/>
      </c>
      <c r="I81" s="7" t="n">
        <v>-77620</v>
      </c>
      <c r="J81" s="4" t="str">
        <f aca="false">IF(I81="","",IF(I81&lt;=-100000,"✓ショート極端",IF(I81&gt;=100000,"(ロング極端)","")))</f>
        <v/>
      </c>
      <c r="K81" s="6" t="n">
        <f aca="false">IF(COUNTA(B81,D81,E81,F81,H81,I81)=0,"",(IF(C81&lt;&gt;"",1,0))+(IF(AND(E81&lt;&gt;"",N(E81)&gt;=1),1,0))+(IF(G81&lt;&gt;"",1,0))+(IF(H81=1,1,0))+(IF(LEFT(J81,1)="✓",1,0)))</f>
        <v>0</v>
      </c>
      <c r="L81" s="10" t="s">
        <v>102</v>
      </c>
    </row>
    <row r="82" customFormat="false" ht="15" hidden="false" customHeight="false" outlineLevel="0" collapsed="false">
      <c r="A82" s="3" t="s">
        <v>103</v>
      </c>
      <c r="C82" s="4" t="str">
        <f aca="false">IF(B82="","",IF(B82&gt;=25,"危機",IF(B82&gt;=15,"無秩序",IF(B82&gt;=12,"警戒",""))))</f>
        <v/>
      </c>
      <c r="E82" s="5"/>
      <c r="G82" s="4" t="str">
        <f aca="false">IF(F82="","",IF(F82&lt;=-200,"危機",IF(F82&lt;=-80,"ストレス","")))</f>
        <v/>
      </c>
      <c r="J82" s="4" t="str">
        <f aca="false">IF(I82="","",IF(I82&lt;=-100000,"✓ショート極端",IF(I82&gt;=100000,"(ロング極端)","")))</f>
        <v/>
      </c>
      <c r="K82" s="6" t="str">
        <f aca="false">IF(COUNTA(B82,D82,E82,F82,H82,I82)=0,"",(IF(C82&lt;&gt;"",1,0))+(IF(AND(E82&lt;&gt;"",N(E82)&gt;=1),1,0))+(IF(G82&lt;&gt;"",1,0))+(IF(H82=1,1,0))+(IF(LEFT(J82,1)="✓",1,0)))</f>
        <v/>
      </c>
    </row>
    <row r="83" customFormat="false" ht="15" hidden="false" customHeight="false" outlineLevel="0" collapsed="false">
      <c r="A83" s="3" t="s">
        <v>104</v>
      </c>
      <c r="C83" s="4" t="str">
        <f aca="false">IF(B83="","",IF(B83&gt;=25,"危機",IF(B83&gt;=15,"無秩序",IF(B83&gt;=12,"警戒",""))))</f>
        <v/>
      </c>
      <c r="E83" s="5"/>
      <c r="G83" s="4" t="str">
        <f aca="false">IF(F83="","",IF(F83&lt;=-200,"危機",IF(F83&lt;=-80,"ストレス","")))</f>
        <v/>
      </c>
      <c r="J83" s="4" t="str">
        <f aca="false">IF(I83="","",IF(I83&lt;=-100000,"✓ショート極端",IF(I83&gt;=100000,"(ロング極端)","")))</f>
        <v/>
      </c>
      <c r="K83" s="6" t="str">
        <f aca="false">IF(COUNTA(B83,D83,E83,F83,H83,I83)=0,"",(IF(C83&lt;&gt;"",1,0))+(IF(AND(E83&lt;&gt;"",N(E83)&gt;=1),1,0))+(IF(G83&lt;&gt;"",1,0))+(IF(H83=1,1,0))+(IF(LEFT(J83,1)="✓",1,0)))</f>
        <v/>
      </c>
    </row>
    <row r="84" customFormat="false" ht="15" hidden="false" customHeight="false" outlineLevel="0" collapsed="false">
      <c r="A84" s="3" t="s">
        <v>105</v>
      </c>
      <c r="C84" s="4" t="str">
        <f aca="false">IF(B84="","",IF(B84&gt;=25,"危機",IF(B84&gt;=15,"無秩序",IF(B84&gt;=12,"警戒",""))))</f>
        <v/>
      </c>
      <c r="E84" s="5"/>
      <c r="G84" s="4" t="str">
        <f aca="false">IF(F84="","",IF(F84&lt;=-200,"危機",IF(F84&lt;=-80,"ストレス","")))</f>
        <v/>
      </c>
      <c r="J84" s="4" t="str">
        <f aca="false">IF(I84="","",IF(I84&lt;=-100000,"✓ショート極端",IF(I84&gt;=100000,"(ロング極端)","")))</f>
        <v/>
      </c>
      <c r="K84" s="6" t="str">
        <f aca="false">IF(COUNTA(B84,D84,E84,F84,H84,I84)=0,"",(IF(C84&lt;&gt;"",1,0))+(IF(AND(E84&lt;&gt;"",N(E84)&gt;=1),1,0))+(IF(G84&lt;&gt;"",1,0))+(IF(H84=1,1,0))+(IF(LEFT(J84,1)="✓",1,0)))</f>
        <v/>
      </c>
    </row>
    <row r="85" customFormat="false" ht="15" hidden="false" customHeight="false" outlineLevel="0" collapsed="false">
      <c r="A85" s="3" t="s">
        <v>106</v>
      </c>
      <c r="C85" s="4" t="str">
        <f aca="false">IF(B85="","",IF(B85&gt;=25,"危機",IF(B85&gt;=15,"無秩序",IF(B85&gt;=12,"警戒",""))))</f>
        <v/>
      </c>
      <c r="E85" s="5"/>
      <c r="G85" s="4" t="str">
        <f aca="false">IF(F85="","",IF(F85&lt;=-200,"危機",IF(F85&lt;=-80,"ストレス","")))</f>
        <v/>
      </c>
      <c r="J85" s="4" t="str">
        <f aca="false">IF(I85="","",IF(I85&lt;=-100000,"✓ショート極端",IF(I85&gt;=100000,"(ロング極端)","")))</f>
        <v/>
      </c>
      <c r="K85" s="6" t="str">
        <f aca="false">IF(COUNTA(B85,D85,E85,F85,H85,I85)=0,"",(IF(C85&lt;&gt;"",1,0))+(IF(AND(E85&lt;&gt;"",N(E85)&gt;=1),1,0))+(IF(G85&lt;&gt;"",1,0))+(IF(H85=1,1,0))+(IF(LEFT(J85,1)="✓",1,0)))</f>
        <v/>
      </c>
    </row>
    <row r="86" customFormat="false" ht="15" hidden="false" customHeight="false" outlineLevel="0" collapsed="false">
      <c r="A86" s="3" t="s">
        <v>107</v>
      </c>
      <c r="C86" s="4" t="str">
        <f aca="false">IF(B86="","",IF(B86&gt;=25,"危機",IF(B86&gt;=15,"無秩序",IF(B86&gt;=12,"警戒",""))))</f>
        <v/>
      </c>
      <c r="E86" s="5"/>
      <c r="G86" s="4" t="str">
        <f aca="false">IF(F86="","",IF(F86&lt;=-200,"危機",IF(F86&lt;=-80,"ストレス","")))</f>
        <v/>
      </c>
      <c r="J86" s="4" t="str">
        <f aca="false">IF(I86="","",IF(I86&lt;=-100000,"✓ショート極端",IF(I86&gt;=100000,"(ロング極端)","")))</f>
        <v/>
      </c>
      <c r="K86" s="6" t="str">
        <f aca="false">IF(COUNTA(B86,D86,E86,F86,H86,I86)=0,"",(IF(C86&lt;&gt;"",1,0))+(IF(AND(E86&lt;&gt;"",N(E86)&gt;=1),1,0))+(IF(G86&lt;&gt;"",1,0))+(IF(H86=1,1,0))+(IF(LEFT(J86,1)="✓",1,0)))</f>
        <v/>
      </c>
    </row>
    <row r="87" customFormat="false" ht="15" hidden="false" customHeight="false" outlineLevel="0" collapsed="false">
      <c r="A87" s="3" t="s">
        <v>108</v>
      </c>
      <c r="C87" s="4" t="str">
        <f aca="false">IF(B87="","",IF(B87&gt;=25,"危機",IF(B87&gt;=15,"無秩序",IF(B87&gt;=12,"警戒",""))))</f>
        <v/>
      </c>
      <c r="E87" s="5"/>
      <c r="G87" s="4" t="str">
        <f aca="false">IF(F87="","",IF(F87&lt;=-200,"危機",IF(F87&lt;=-80,"ストレス","")))</f>
        <v/>
      </c>
      <c r="J87" s="4" t="str">
        <f aca="false">IF(I87="","",IF(I87&lt;=-100000,"✓ショート極端",IF(I87&gt;=100000,"(ロング極端)","")))</f>
        <v/>
      </c>
      <c r="K87" s="6" t="str">
        <f aca="false">IF(COUNTA(B87,D87,E87,F87,H87,I87)=0,"",(IF(C87&lt;&gt;"",1,0))+(IF(AND(E87&lt;&gt;"",N(E87)&gt;=1),1,0))+(IF(G87&lt;&gt;"",1,0))+(IF(H87=1,1,0))+(IF(LEFT(J87,1)="✓",1,0)))</f>
        <v/>
      </c>
    </row>
    <row r="88" customFormat="false" ht="15" hidden="false" customHeight="false" outlineLevel="0" collapsed="false">
      <c r="A88" s="3" t="s">
        <v>109</v>
      </c>
      <c r="C88" s="4" t="str">
        <f aca="false">IF(B88="","",IF(B88&gt;=25,"危機",IF(B88&gt;=15,"無秩序",IF(B88&gt;=12,"警戒",""))))</f>
        <v/>
      </c>
      <c r="E88" s="5"/>
      <c r="G88" s="4" t="str">
        <f aca="false">IF(F88="","",IF(F88&lt;=-200,"危機",IF(F88&lt;=-80,"ストレス","")))</f>
        <v/>
      </c>
      <c r="J88" s="4" t="str">
        <f aca="false">IF(I88="","",IF(I88&lt;=-100000,"✓ショート極端",IF(I88&gt;=100000,"(ロング極端)","")))</f>
        <v/>
      </c>
      <c r="K88" s="6" t="str">
        <f aca="false">IF(COUNTA(B88,D88,E88,F88,H88,I88)=0,"",(IF(C88&lt;&gt;"",1,0))+(IF(AND(E88&lt;&gt;"",N(E88)&gt;=1),1,0))+(IF(G88&lt;&gt;"",1,0))+(IF(H88=1,1,0))+(IF(LEFT(J88,1)="✓",1,0)))</f>
        <v/>
      </c>
    </row>
    <row r="89" customFormat="false" ht="15" hidden="false" customHeight="false" outlineLevel="0" collapsed="false">
      <c r="A89" s="3" t="s">
        <v>110</v>
      </c>
      <c r="C89" s="4" t="str">
        <f aca="false">IF(B89="","",IF(B89&gt;=25,"危機",IF(B89&gt;=15,"無秩序",IF(B89&gt;=12,"警戒",""))))</f>
        <v/>
      </c>
      <c r="E89" s="5"/>
      <c r="G89" s="4" t="str">
        <f aca="false">IF(F89="","",IF(F89&lt;=-200,"危機",IF(F89&lt;=-80,"ストレス","")))</f>
        <v/>
      </c>
      <c r="J89" s="4" t="str">
        <f aca="false">IF(I89="","",IF(I89&lt;=-100000,"✓ショート極端",IF(I89&gt;=100000,"(ロング極端)","")))</f>
        <v/>
      </c>
      <c r="K89" s="6" t="str">
        <f aca="false">IF(COUNTA(B89,D89,E89,F89,H89,I89)=0,"",(IF(C89&lt;&gt;"",1,0))+(IF(AND(E89&lt;&gt;"",N(E89)&gt;=1),1,0))+(IF(G89&lt;&gt;"",1,0))+(IF(H89=1,1,0))+(IF(LEFT(J89,1)="✓",1,0)))</f>
        <v/>
      </c>
      <c r="L89" s="9" t="s">
        <v>111</v>
      </c>
    </row>
    <row r="90" customFormat="false" ht="15" hidden="false" customHeight="false" outlineLevel="0" collapsed="false">
      <c r="A90" s="3" t="s">
        <v>112</v>
      </c>
      <c r="C90" s="4" t="str">
        <f aca="false">IF(B90="","",IF(B90&gt;=25,"危機",IF(B90&gt;=15,"無秩序",IF(B90&gt;=12,"警戒",""))))</f>
        <v/>
      </c>
      <c r="E90" s="5"/>
      <c r="G90" s="4" t="str">
        <f aca="false">IF(F90="","",IF(F90&lt;=-200,"危機",IF(F90&lt;=-80,"ストレス","")))</f>
        <v/>
      </c>
      <c r="J90" s="4" t="str">
        <f aca="false">IF(I90="","",IF(I90&lt;=-100000,"✓ショート極端",IF(I90&gt;=100000,"(ロング極端)","")))</f>
        <v/>
      </c>
      <c r="K90" s="6" t="str">
        <f aca="false">IF(COUNTA(B90,D90,E90,F90,H90,I90)=0,"",(IF(C90&lt;&gt;"",1,0))+(IF(AND(E90&lt;&gt;"",N(E90)&gt;=1),1,0))+(IF(G90&lt;&gt;"",1,0))+(IF(H90=1,1,0))+(IF(LEFT(J90,1)="✓",1,0)))</f>
        <v/>
      </c>
    </row>
    <row r="91" customFormat="false" ht="15" hidden="false" customHeight="false" outlineLevel="0" collapsed="false">
      <c r="A91" s="3" t="s">
        <v>113</v>
      </c>
      <c r="C91" s="4" t="str">
        <f aca="false">IF(B91="","",IF(B91&gt;=25,"危機",IF(B91&gt;=15,"無秩序",IF(B91&gt;=12,"警戒",""))))</f>
        <v/>
      </c>
      <c r="E91" s="5"/>
      <c r="G91" s="4" t="str">
        <f aca="false">IF(F91="","",IF(F91&lt;=-200,"危機",IF(F91&lt;=-80,"ストレス","")))</f>
        <v/>
      </c>
      <c r="J91" s="4" t="str">
        <f aca="false">IF(I91="","",IF(I91&lt;=-100000,"✓ショート極端",IF(I91&gt;=100000,"(ロング極端)","")))</f>
        <v/>
      </c>
      <c r="K91" s="6" t="str">
        <f aca="false">IF(COUNTA(B91,D91,E91,F91,H91,I91)=0,"",(IF(C91&lt;&gt;"",1,0))+(IF(AND(E91&lt;&gt;"",N(E91)&gt;=1),1,0))+(IF(G91&lt;&gt;"",1,0))+(IF(H91=1,1,0))+(IF(LEFT(J91,1)="✓",1,0)))</f>
        <v/>
      </c>
    </row>
    <row r="92" customFormat="false" ht="15" hidden="false" customHeight="false" outlineLevel="0" collapsed="false">
      <c r="A92" s="3" t="s">
        <v>114</v>
      </c>
      <c r="C92" s="4" t="str">
        <f aca="false">IF(B92="","",IF(B92&gt;=25,"危機",IF(B92&gt;=15,"無秩序",IF(B92&gt;=12,"警戒",""))))</f>
        <v/>
      </c>
      <c r="E92" s="5"/>
      <c r="G92" s="4" t="str">
        <f aca="false">IF(F92="","",IF(F92&lt;=-200,"危機",IF(F92&lt;=-80,"ストレス","")))</f>
        <v/>
      </c>
      <c r="J92" s="4" t="str">
        <f aca="false">IF(I92="","",IF(I92&lt;=-100000,"✓ショート極端",IF(I92&gt;=100000,"(ロング極端)","")))</f>
        <v/>
      </c>
      <c r="K92" s="6" t="str">
        <f aca="false">IF(COUNTA(B92,D92,E92,F92,H92,I92)=0,"",(IF(C92&lt;&gt;"",1,0))+(IF(AND(E92&lt;&gt;"",N(E92)&gt;=1),1,0))+(IF(G92&lt;&gt;"",1,0))+(IF(H92=1,1,0))+(IF(LEFT(J92,1)="✓",1,0)))</f>
        <v/>
      </c>
    </row>
    <row r="93" customFormat="false" ht="15" hidden="false" customHeight="false" outlineLevel="0" collapsed="false">
      <c r="A93" s="3" t="s">
        <v>115</v>
      </c>
      <c r="C93" s="4" t="str">
        <f aca="false">IF(B93="","",IF(B93&gt;=25,"危機",IF(B93&gt;=15,"無秩序",IF(B93&gt;=12,"警戒",""))))</f>
        <v/>
      </c>
      <c r="E93" s="5"/>
      <c r="G93" s="4" t="str">
        <f aca="false">IF(F93="","",IF(F93&lt;=-200,"危機",IF(F93&lt;=-80,"ストレス","")))</f>
        <v/>
      </c>
      <c r="J93" s="4" t="str">
        <f aca="false">IF(I93="","",IF(I93&lt;=-100000,"✓ショート極端",IF(I93&gt;=100000,"(ロング極端)","")))</f>
        <v/>
      </c>
      <c r="K93" s="6" t="str">
        <f aca="false">IF(COUNTA(B93,D93,E93,F93,H93,I93)=0,"",(IF(C93&lt;&gt;"",1,0))+(IF(AND(E93&lt;&gt;"",N(E93)&gt;=1),1,0))+(IF(G93&lt;&gt;"",1,0))+(IF(H93=1,1,0))+(IF(LEFT(J93,1)="✓",1,0)))</f>
        <v/>
      </c>
      <c r="L93" s="9" t="s">
        <v>116</v>
      </c>
    </row>
    <row r="94" customFormat="false" ht="15" hidden="false" customHeight="false" outlineLevel="0" collapsed="false">
      <c r="A94" s="3" t="s">
        <v>117</v>
      </c>
      <c r="C94" s="4" t="str">
        <f aca="false">IF(B94="","",IF(B94&gt;=25,"危機",IF(B94&gt;=15,"無秩序",IF(B94&gt;=12,"警戒",""))))</f>
        <v/>
      </c>
      <c r="E94" s="5"/>
      <c r="G94" s="4" t="str">
        <f aca="false">IF(F94="","",IF(F94&lt;=-200,"危機",IF(F94&lt;=-80,"ストレス","")))</f>
        <v/>
      </c>
      <c r="J94" s="4" t="str">
        <f aca="false">IF(I94="","",IF(I94&lt;=-100000,"✓ショート極端",IF(I94&gt;=100000,"(ロング極端)","")))</f>
        <v/>
      </c>
      <c r="K94" s="6" t="str">
        <f aca="false">IF(COUNTA(B94,D94,E94,F94,H94,I94)=0,"",(IF(C94&lt;&gt;"",1,0))+(IF(AND(E94&lt;&gt;"",N(E94)&gt;=1),1,0))+(IF(G94&lt;&gt;"",1,0))+(IF(H94=1,1,0))+(IF(LEFT(J94,1)="✓",1,0)))</f>
        <v/>
      </c>
    </row>
    <row r="95" customFormat="false" ht="15" hidden="false" customHeight="false" outlineLevel="0" collapsed="false">
      <c r="A95" s="3" t="s">
        <v>118</v>
      </c>
      <c r="C95" s="4" t="str">
        <f aca="false">IF(B95="","",IF(B95&gt;=25,"危機",IF(B95&gt;=15,"無秩序",IF(B95&gt;=12,"警戒",""))))</f>
        <v/>
      </c>
      <c r="E95" s="5"/>
      <c r="G95" s="4" t="str">
        <f aca="false">IF(F95="","",IF(F95&lt;=-200,"危機",IF(F95&lt;=-80,"ストレス","")))</f>
        <v/>
      </c>
      <c r="J95" s="4" t="str">
        <f aca="false">IF(I95="","",IF(I95&lt;=-100000,"✓ショート極端",IF(I95&gt;=100000,"(ロング極端)","")))</f>
        <v/>
      </c>
      <c r="K95" s="6" t="str">
        <f aca="false">IF(COUNTA(B95,D95,E95,F95,H95,I95)=0,"",(IF(C95&lt;&gt;"",1,0))+(IF(AND(E95&lt;&gt;"",N(E95)&gt;=1),1,0))+(IF(G95&lt;&gt;"",1,0))+(IF(H95=1,1,0))+(IF(LEFT(J95,1)="✓",1,0)))</f>
        <v/>
      </c>
    </row>
    <row r="96" customFormat="false" ht="15" hidden="false" customHeight="false" outlineLevel="0" collapsed="false">
      <c r="A96" s="3" t="s">
        <v>119</v>
      </c>
      <c r="C96" s="4" t="str">
        <f aca="false">IF(B96="","",IF(B96&gt;=25,"危機",IF(B96&gt;=15,"無秩序",IF(B96&gt;=12,"警戒",""))))</f>
        <v/>
      </c>
      <c r="E96" s="5"/>
      <c r="G96" s="4" t="str">
        <f aca="false">IF(F96="","",IF(F96&lt;=-200,"危機",IF(F96&lt;=-80,"ストレス","")))</f>
        <v/>
      </c>
      <c r="J96" s="4" t="str">
        <f aca="false">IF(I96="","",IF(I96&lt;=-100000,"✓ショート極端",IF(I96&gt;=100000,"(ロング極端)","")))</f>
        <v/>
      </c>
      <c r="K96" s="6" t="str">
        <f aca="false">IF(COUNTA(B96,D96,E96,F96,H96,I96)=0,"",(IF(C96&lt;&gt;"",1,0))+(IF(AND(E96&lt;&gt;"",N(E96)&gt;=1),1,0))+(IF(G96&lt;&gt;"",1,0))+(IF(H96=1,1,0))+(IF(LEFT(J96,1)="✓",1,0)))</f>
        <v/>
      </c>
    </row>
    <row r="97" customFormat="false" ht="15" hidden="false" customHeight="false" outlineLevel="0" collapsed="false">
      <c r="A97" s="3" t="s">
        <v>120</v>
      </c>
      <c r="C97" s="4" t="str">
        <f aca="false">IF(B97="","",IF(B97&gt;=25,"危機",IF(B97&gt;=15,"無秩序",IF(B97&gt;=12,"警戒",""))))</f>
        <v/>
      </c>
      <c r="E97" s="5"/>
      <c r="G97" s="4" t="str">
        <f aca="false">IF(F97="","",IF(F97&lt;=-200,"危機",IF(F97&lt;=-80,"ストレス","")))</f>
        <v/>
      </c>
      <c r="J97" s="4" t="str">
        <f aca="false">IF(I97="","",IF(I97&lt;=-100000,"✓ショート極端",IF(I97&gt;=100000,"(ロング極端)","")))</f>
        <v/>
      </c>
      <c r="K97" s="6" t="str">
        <f aca="false">IF(COUNTA(B97,D97,E97,F97,H97,I97)=0,"",(IF(C97&lt;&gt;"",1,0))+(IF(AND(E97&lt;&gt;"",N(E97)&gt;=1),1,0))+(IF(G97&lt;&gt;"",1,0))+(IF(H97=1,1,0))+(IF(LEFT(J97,1)="✓",1,0)))</f>
        <v/>
      </c>
    </row>
    <row r="98" customFormat="false" ht="15" hidden="false" customHeight="false" outlineLevel="0" collapsed="false">
      <c r="A98" s="3" t="s">
        <v>121</v>
      </c>
      <c r="C98" s="4" t="str">
        <f aca="false">IF(B98="","",IF(B98&gt;=25,"危機",IF(B98&gt;=15,"無秩序",IF(B98&gt;=12,"警戒",""))))</f>
        <v/>
      </c>
      <c r="D98" s="7" t="n">
        <v>-3.5</v>
      </c>
      <c r="E98" s="8" t="n">
        <v>1</v>
      </c>
      <c r="G98" s="4" t="str">
        <f aca="false">IF(F98="","",IF(F98&lt;=-200,"危機",IF(F98&lt;=-80,"ストレス","")))</f>
        <v/>
      </c>
      <c r="J98" s="4" t="str">
        <f aca="false">IF(I98="","",IF(I98&lt;=-100000,"✓ショート極端",IF(I98&gt;=100000,"(ロング極端)","")))</f>
        <v/>
      </c>
      <c r="K98" s="6" t="n">
        <f aca="false">IF(COUNTA(B98,D98,E98,F98,H98,I98)=0,"",(IF(C98&lt;&gt;"",1,0))+(IF(AND(E98&lt;&gt;"",N(E98)&gt;=1),1,0))+(IF(G98&lt;&gt;"",1,0))+(IF(H98=1,1,0))+(IF(LEFT(J98,1)="✓",1,0)))</f>
        <v>1</v>
      </c>
      <c r="L98" s="9" t="s">
        <v>122</v>
      </c>
    </row>
    <row r="99" customFormat="false" ht="15" hidden="false" customHeight="false" outlineLevel="0" collapsed="false">
      <c r="A99" s="3" t="s">
        <v>123</v>
      </c>
      <c r="C99" s="4" t="str">
        <f aca="false">IF(B99="","",IF(B99&gt;=25,"危機",IF(B99&gt;=15,"無秩序",IF(B99&gt;=12,"警戒",""))))</f>
        <v/>
      </c>
      <c r="E99" s="5"/>
      <c r="G99" s="4" t="str">
        <f aca="false">IF(F99="","",IF(F99&lt;=-200,"危機",IF(F99&lt;=-80,"ストレス","")))</f>
        <v/>
      </c>
      <c r="J99" s="4" t="str">
        <f aca="false">IF(I99="","",IF(I99&lt;=-100000,"✓ショート極端",IF(I99&gt;=100000,"(ロング極端)","")))</f>
        <v/>
      </c>
      <c r="K99" s="6" t="str">
        <f aca="false">IF(COUNTA(B99,D99,E99,F99,H99,I99)=0,"",(IF(C99&lt;&gt;"",1,0))+(IF(AND(E99&lt;&gt;"",N(E99)&gt;=1),1,0))+(IF(G99&lt;&gt;"",1,0))+(IF(H99=1,1,0))+(IF(LEFT(J99,1)="✓",1,0)))</f>
        <v/>
      </c>
    </row>
    <row r="100" customFormat="false" ht="15" hidden="false" customHeight="false" outlineLevel="0" collapsed="false">
      <c r="A100" s="3" t="s">
        <v>124</v>
      </c>
      <c r="C100" s="4" t="str">
        <f aca="false">IF(B100="","",IF(B100&gt;=25,"危機",IF(B100&gt;=15,"無秩序",IF(B100&gt;=12,"警戒",""))))</f>
        <v/>
      </c>
      <c r="E100" s="5"/>
      <c r="G100" s="4" t="str">
        <f aca="false">IF(F100="","",IF(F100&lt;=-200,"危機",IF(F100&lt;=-80,"ストレス","")))</f>
        <v/>
      </c>
      <c r="J100" s="4" t="str">
        <f aca="false">IF(I100="","",IF(I100&lt;=-100000,"✓ショート極端",IF(I100&gt;=100000,"(ロング極端)","")))</f>
        <v/>
      </c>
      <c r="K100" s="6" t="str">
        <f aca="false">IF(COUNTA(B100,D100,E100,F100,H100,I100)=0,"",(IF(C100&lt;&gt;"",1,0))+(IF(AND(E100&lt;&gt;"",N(E100)&gt;=1),1,0))+(IF(G100&lt;&gt;"",1,0))+(IF(H100=1,1,0))+(IF(LEFT(J100,1)="✓",1,0)))</f>
        <v/>
      </c>
    </row>
    <row r="101" customFormat="false" ht="15" hidden="false" customHeight="false" outlineLevel="0" collapsed="false">
      <c r="A101" s="3" t="s">
        <v>125</v>
      </c>
      <c r="C101" s="4" t="str">
        <f aca="false">IF(B101="","",IF(B101&gt;=25,"危機",IF(B101&gt;=15,"無秩序",IF(B101&gt;=12,"警戒",""))))</f>
        <v/>
      </c>
      <c r="E101" s="8" t="n">
        <v>2</v>
      </c>
      <c r="G101" s="4" t="str">
        <f aca="false">IF(F101="","",IF(F101&lt;=-200,"危機",IF(F101&lt;=-80,"ストレス","")))</f>
        <v/>
      </c>
      <c r="J101" s="4" t="str">
        <f aca="false">IF(I101="","",IF(I101&lt;=-100000,"✓ショート極端",IF(I101&gt;=100000,"(ロング極端)","")))</f>
        <v/>
      </c>
      <c r="K101" s="6" t="n">
        <f aca="false">IF(COUNTA(B101,D101,E101,F101,H101,I101)=0,"",(IF(C101&lt;&gt;"",1,0))+(IF(AND(E101&lt;&gt;"",N(E101)&gt;=1),1,0))+(IF(G101&lt;&gt;"",1,0))+(IF(H101=1,1,0))+(IF(LEFT(J101,1)="✓",1,0)))</f>
        <v>1</v>
      </c>
      <c r="L101" s="9" t="s">
        <v>126</v>
      </c>
    </row>
    <row r="102" customFormat="false" ht="15" hidden="false" customHeight="false" outlineLevel="0" collapsed="false">
      <c r="A102" s="3" t="s">
        <v>127</v>
      </c>
      <c r="C102" s="4" t="str">
        <f aca="false">IF(B102="","",IF(B102&gt;=25,"危機",IF(B102&gt;=15,"無秩序",IF(B102&gt;=12,"警戒",""))))</f>
        <v/>
      </c>
      <c r="E102" s="8" t="n">
        <v>2</v>
      </c>
      <c r="G102" s="4" t="str">
        <f aca="false">IF(F102="","",IF(F102&lt;=-200,"危機",IF(F102&lt;=-80,"ストレス","")))</f>
        <v/>
      </c>
      <c r="I102" s="7" t="n">
        <v>-24158</v>
      </c>
      <c r="J102" s="4" t="str">
        <f aca="false">IF(I102="","",IF(I102&lt;=-100000,"✓ショート極端",IF(I102&gt;=100000,"(ロング極端)","")))</f>
        <v/>
      </c>
      <c r="K102" s="6" t="n">
        <f aca="false">IF(COUNTA(B102,D102,E102,F102,H102,I102)=0,"",(IF(C102&lt;&gt;"",1,0))+(IF(AND(E102&lt;&gt;"",N(E102)&gt;=1),1,0))+(IF(G102&lt;&gt;"",1,0))+(IF(H102=1,1,0))+(IF(LEFT(J102,1)="✓",1,0)))</f>
        <v>1</v>
      </c>
      <c r="L102" s="9" t="s">
        <v>128</v>
      </c>
    </row>
    <row r="103" customFormat="false" ht="15" hidden="false" customHeight="false" outlineLevel="0" collapsed="false">
      <c r="A103" s="3" t="s">
        <v>129</v>
      </c>
      <c r="C103" s="4" t="str">
        <f aca="false">IF(B103="","",IF(B103&gt;=25,"危機",IF(B103&gt;=15,"無秩序",IF(B103&gt;=12,"警戒",""))))</f>
        <v/>
      </c>
      <c r="E103" s="5"/>
      <c r="G103" s="4" t="str">
        <f aca="false">IF(F103="","",IF(F103&lt;=-200,"危機",IF(F103&lt;=-80,"ストレス","")))</f>
        <v/>
      </c>
      <c r="I103" s="7" t="n">
        <v>41000</v>
      </c>
      <c r="J103" s="4" t="str">
        <f aca="false">IF(I103="","",IF(I103&lt;=-100000,"✓ショート極端",IF(I103&gt;=100000,"(ロング極端)","")))</f>
        <v/>
      </c>
      <c r="K103" s="6" t="n">
        <f aca="false">IF(COUNTA(B103,D103,E103,F103,H103,I103)=0,"",(IF(C103&lt;&gt;"",1,0))+(IF(AND(E103&lt;&gt;"",N(E103)&gt;=1),1,0))+(IF(G103&lt;&gt;"",1,0))+(IF(H103=1,1,0))+(IF(LEFT(J103,1)="✓",1,0)))</f>
        <v>0</v>
      </c>
      <c r="L103" s="10" t="s">
        <v>130</v>
      </c>
    </row>
    <row r="104" customFormat="false" ht="15" hidden="false" customHeight="false" outlineLevel="0" collapsed="false">
      <c r="A104" s="3" t="s">
        <v>131</v>
      </c>
      <c r="C104" s="4" t="str">
        <f aca="false">IF(B104="","",IF(B104&gt;=25,"危機",IF(B104&gt;=15,"無秩序",IF(B104&gt;=12,"警戒",""))))</f>
        <v/>
      </c>
      <c r="E104" s="5"/>
      <c r="G104" s="4" t="str">
        <f aca="false">IF(F104="","",IF(F104&lt;=-200,"危機",IF(F104&lt;=-80,"ストレス","")))</f>
        <v/>
      </c>
      <c r="J104" s="4" t="str">
        <f aca="false">IF(I104="","",IF(I104&lt;=-100000,"✓ショート極端",IF(I104&gt;=100000,"(ロング極端)","")))</f>
        <v/>
      </c>
      <c r="K104" s="6" t="str">
        <f aca="false">IF(COUNTA(B104,D104,E104,F104,H104,I104)=0,"",(IF(C104&lt;&gt;"",1,0))+(IF(AND(E104&lt;&gt;"",N(E104)&gt;=1),1,0))+(IF(G104&lt;&gt;"",1,0))+(IF(H104=1,1,0))+(IF(LEFT(J104,1)="✓",1,0)))</f>
        <v/>
      </c>
    </row>
    <row r="105" customFormat="false" ht="15" hidden="false" customHeight="false" outlineLevel="0" collapsed="false">
      <c r="A105" s="3" t="s">
        <v>132</v>
      </c>
      <c r="C105" s="4" t="str">
        <f aca="false">IF(B105="","",IF(B105&gt;=25,"危機",IF(B105&gt;=15,"無秩序",IF(B105&gt;=12,"警戒",""))))</f>
        <v/>
      </c>
      <c r="E105" s="5"/>
      <c r="G105" s="4" t="str">
        <f aca="false">IF(F105="","",IF(F105&lt;=-200,"危機",IF(F105&lt;=-80,"ストレス","")))</f>
        <v/>
      </c>
      <c r="J105" s="4" t="str">
        <f aca="false">IF(I105="","",IF(I105&lt;=-100000,"✓ショート極端",IF(I105&gt;=100000,"(ロング極端)","")))</f>
        <v/>
      </c>
      <c r="K105" s="6" t="str">
        <f aca="false">IF(COUNTA(B105,D105,E105,F105,H105,I105)=0,"",(IF(C105&lt;&gt;"",1,0))+(IF(AND(E105&lt;&gt;"",N(E105)&gt;=1),1,0))+(IF(G105&lt;&gt;"",1,0))+(IF(H105=1,1,0))+(IF(LEFT(J105,1)="✓",1,0)))</f>
        <v/>
      </c>
    </row>
    <row r="106" customFormat="false" ht="15" hidden="false" customHeight="false" outlineLevel="0" collapsed="false">
      <c r="A106" s="3" t="s">
        <v>133</v>
      </c>
      <c r="C106" s="4" t="str">
        <f aca="false">IF(B106="","",IF(B106&gt;=25,"危機",IF(B106&gt;=15,"無秩序",IF(B106&gt;=12,"警戒",""))))</f>
        <v/>
      </c>
      <c r="E106" s="5"/>
      <c r="G106" s="4" t="str">
        <f aca="false">IF(F106="","",IF(F106&lt;=-200,"危機",IF(F106&lt;=-80,"ストレス","")))</f>
        <v/>
      </c>
      <c r="J106" s="4" t="str">
        <f aca="false">IF(I106="","",IF(I106&lt;=-100000,"✓ショート極端",IF(I106&gt;=100000,"(ロング極端)","")))</f>
        <v/>
      </c>
      <c r="K106" s="6" t="str">
        <f aca="false">IF(COUNTA(B106,D106,E106,F106,H106,I106)=0,"",(IF(C106&lt;&gt;"",1,0))+(IF(AND(E106&lt;&gt;"",N(E106)&gt;=1),1,0))+(IF(G106&lt;&gt;"",1,0))+(IF(H106=1,1,0))+(IF(LEFT(J106,1)="✓",1,0)))</f>
        <v/>
      </c>
    </row>
    <row r="107" customFormat="false" ht="15" hidden="false" customHeight="false" outlineLevel="0" collapsed="false">
      <c r="A107" s="3" t="s">
        <v>134</v>
      </c>
      <c r="C107" s="4" t="str">
        <f aca="false">IF(B107="","",IF(B107&gt;=25,"危機",IF(B107&gt;=15,"無秩序",IF(B107&gt;=12,"警戒",""))))</f>
        <v/>
      </c>
      <c r="E107" s="5"/>
      <c r="G107" s="4" t="str">
        <f aca="false">IF(F107="","",IF(F107&lt;=-200,"危機",IF(F107&lt;=-80,"ストレス","")))</f>
        <v/>
      </c>
      <c r="J107" s="4" t="str">
        <f aca="false">IF(I107="","",IF(I107&lt;=-100000,"✓ショート極端",IF(I107&gt;=100000,"(ロング極端)","")))</f>
        <v/>
      </c>
      <c r="K107" s="6" t="str">
        <f aca="false">IF(COUNTA(B107,D107,E107,F107,H107,I107)=0,"",(IF(C107&lt;&gt;"",1,0))+(IF(AND(E107&lt;&gt;"",N(E107)&gt;=1),1,0))+(IF(G107&lt;&gt;"",1,0))+(IF(H107=1,1,0))+(IF(LEFT(J107,1)="✓",1,0)))</f>
        <v/>
      </c>
    </row>
    <row r="108" customFormat="false" ht="15" hidden="false" customHeight="false" outlineLevel="0" collapsed="false">
      <c r="A108" s="3" t="s">
        <v>135</v>
      </c>
      <c r="C108" s="4" t="str">
        <f aca="false">IF(B108="","",IF(B108&gt;=25,"危機",IF(B108&gt;=15,"無秩序",IF(B108&gt;=12,"警戒",""))))</f>
        <v/>
      </c>
      <c r="E108" s="5"/>
      <c r="G108" s="4" t="str">
        <f aca="false">IF(F108="","",IF(F108&lt;=-200,"危機",IF(F108&lt;=-80,"ストレス","")))</f>
        <v/>
      </c>
      <c r="J108" s="4" t="str">
        <f aca="false">IF(I108="","",IF(I108&lt;=-100000,"✓ショート極端",IF(I108&gt;=100000,"(ロング極端)","")))</f>
        <v/>
      </c>
      <c r="K108" s="6" t="str">
        <f aca="false">IF(COUNTA(B108,D108,E108,F108,H108,I108)=0,"",(IF(C108&lt;&gt;"",1,0))+(IF(AND(E108&lt;&gt;"",N(E108)&gt;=1),1,0))+(IF(G108&lt;&gt;"",1,0))+(IF(H108=1,1,0))+(IF(LEFT(J108,1)="✓",1,0)))</f>
        <v/>
      </c>
    </row>
    <row r="109" customFormat="false" ht="15" hidden="false" customHeight="false" outlineLevel="0" collapsed="false">
      <c r="A109" s="3" t="s">
        <v>136</v>
      </c>
      <c r="C109" s="4" t="str">
        <f aca="false">IF(B109="","",IF(B109&gt;=25,"危機",IF(B109&gt;=15,"無秩序",IF(B109&gt;=12,"警戒",""))))</f>
        <v/>
      </c>
      <c r="E109" s="5"/>
      <c r="G109" s="4" t="str">
        <f aca="false">IF(F109="","",IF(F109&lt;=-200,"危機",IF(F109&lt;=-80,"ストレス","")))</f>
        <v/>
      </c>
      <c r="J109" s="4" t="str">
        <f aca="false">IF(I109="","",IF(I109&lt;=-100000,"✓ショート極端",IF(I109&gt;=100000,"(ロング極端)","")))</f>
        <v/>
      </c>
      <c r="K109" s="6" t="str">
        <f aca="false">IF(COUNTA(B109,D109,E109,F109,H109,I109)=0,"",(IF(C109&lt;&gt;"",1,0))+(IF(AND(E109&lt;&gt;"",N(E109)&gt;=1),1,0))+(IF(G109&lt;&gt;"",1,0))+(IF(H109=1,1,0))+(IF(LEFT(J109,1)="✓",1,0)))</f>
        <v/>
      </c>
    </row>
    <row r="110" customFormat="false" ht="15" hidden="false" customHeight="false" outlineLevel="0" collapsed="false">
      <c r="A110" s="3" t="s">
        <v>137</v>
      </c>
      <c r="C110" s="4" t="str">
        <f aca="false">IF(B110="","",IF(B110&gt;=25,"危機",IF(B110&gt;=15,"無秩序",IF(B110&gt;=12,"警戒",""))))</f>
        <v/>
      </c>
      <c r="E110" s="5"/>
      <c r="G110" s="4" t="str">
        <f aca="false">IF(F110="","",IF(F110&lt;=-200,"危機",IF(F110&lt;=-80,"ストレス","")))</f>
        <v/>
      </c>
      <c r="J110" s="4" t="str">
        <f aca="false">IF(I110="","",IF(I110&lt;=-100000,"✓ショート極端",IF(I110&gt;=100000,"(ロング極端)","")))</f>
        <v/>
      </c>
      <c r="K110" s="6" t="str">
        <f aca="false">IF(COUNTA(B110,D110,E110,F110,H110,I110)=0,"",(IF(C110&lt;&gt;"",1,0))+(IF(AND(E110&lt;&gt;"",N(E110)&gt;=1),1,0))+(IF(G110&lt;&gt;"",1,0))+(IF(H110=1,1,0))+(IF(LEFT(J110,1)="✓",1,0)))</f>
        <v/>
      </c>
    </row>
    <row r="111" customFormat="false" ht="15" hidden="false" customHeight="false" outlineLevel="0" collapsed="false">
      <c r="A111" s="3" t="s">
        <v>138</v>
      </c>
      <c r="C111" s="4" t="str">
        <f aca="false">IF(B111="","",IF(B111&gt;=25,"危機",IF(B111&gt;=15,"無秩序",IF(B111&gt;=12,"警戒",""))))</f>
        <v/>
      </c>
      <c r="E111" s="5"/>
      <c r="G111" s="4" t="str">
        <f aca="false">IF(F111="","",IF(F111&lt;=-200,"危機",IF(F111&lt;=-80,"ストレス","")))</f>
        <v/>
      </c>
      <c r="J111" s="4" t="str">
        <f aca="false">IF(I111="","",IF(I111&lt;=-100000,"✓ショート極端",IF(I111&gt;=100000,"(ロング極端)","")))</f>
        <v/>
      </c>
      <c r="K111" s="6" t="str">
        <f aca="false">IF(COUNTA(B111,D111,E111,F111,H111,I111)=0,"",(IF(C111&lt;&gt;"",1,0))+(IF(AND(E111&lt;&gt;"",N(E111)&gt;=1),1,0))+(IF(G111&lt;&gt;"",1,0))+(IF(H111=1,1,0))+(IF(LEFT(J111,1)="✓",1,0)))</f>
        <v/>
      </c>
    </row>
    <row r="112" customFormat="false" ht="15" hidden="false" customHeight="false" outlineLevel="0" collapsed="false">
      <c r="A112" s="3" t="s">
        <v>139</v>
      </c>
      <c r="C112" s="4" t="str">
        <f aca="false">IF(B112="","",IF(B112&gt;=25,"危機",IF(B112&gt;=15,"無秩序",IF(B112&gt;=12,"警戒",""))))</f>
        <v/>
      </c>
      <c r="E112" s="5"/>
      <c r="G112" s="4" t="str">
        <f aca="false">IF(F112="","",IF(F112&lt;=-200,"危機",IF(F112&lt;=-80,"ストレス","")))</f>
        <v/>
      </c>
      <c r="J112" s="4" t="str">
        <f aca="false">IF(I112="","",IF(I112&lt;=-100000,"✓ショート極端",IF(I112&gt;=100000,"(ロング極端)","")))</f>
        <v/>
      </c>
      <c r="K112" s="6" t="str">
        <f aca="false">IF(COUNTA(B112,D112,E112,F112,H112,I112)=0,"",(IF(C112&lt;&gt;"",1,0))+(IF(AND(E112&lt;&gt;"",N(E112)&gt;=1),1,0))+(IF(G112&lt;&gt;"",1,0))+(IF(H112=1,1,0))+(IF(LEFT(J112,1)="✓",1,0)))</f>
        <v/>
      </c>
    </row>
    <row r="113" customFormat="false" ht="15" hidden="false" customHeight="false" outlineLevel="0" collapsed="false">
      <c r="A113" s="3" t="s">
        <v>140</v>
      </c>
      <c r="C113" s="4" t="str">
        <f aca="false">IF(B113="","",IF(B113&gt;=25,"危機",IF(B113&gt;=15,"無秩序",IF(B113&gt;=12,"警戒",""))))</f>
        <v/>
      </c>
      <c r="E113" s="5"/>
      <c r="G113" s="4" t="str">
        <f aca="false">IF(F113="","",IF(F113&lt;=-200,"危機",IF(F113&lt;=-80,"ストレス","")))</f>
        <v/>
      </c>
      <c r="I113" s="7" t="n">
        <v>89300</v>
      </c>
      <c r="J113" s="4" t="str">
        <f aca="false">IF(I113="","",IF(I113&lt;=-100000,"✓ショート極端",IF(I113&gt;=100000,"(ロング極端)","")))</f>
        <v/>
      </c>
      <c r="K113" s="6" t="n">
        <f aca="false">IF(COUNTA(B113,D113,E113,F113,H113,I113)=0,"",(IF(C113&lt;&gt;"",1,0))+(IF(AND(E113&lt;&gt;"",N(E113)&gt;=1),1,0))+(IF(G113&lt;&gt;"",1,0))+(IF(H113=1,1,0))+(IF(LEFT(J113,1)="✓",1,0)))</f>
        <v>0</v>
      </c>
      <c r="L113" s="10" t="s">
        <v>141</v>
      </c>
    </row>
    <row r="114" customFormat="false" ht="15" hidden="false" customHeight="false" outlineLevel="0" collapsed="false">
      <c r="A114" s="3" t="s">
        <v>142</v>
      </c>
      <c r="C114" s="4" t="str">
        <f aca="false">IF(B114="","",IF(B114&gt;=25,"危機",IF(B114&gt;=15,"無秩序",IF(B114&gt;=12,"警戒",""))))</f>
        <v/>
      </c>
      <c r="E114" s="5"/>
      <c r="G114" s="4" t="str">
        <f aca="false">IF(F114="","",IF(F114&lt;=-200,"危機",IF(F114&lt;=-80,"ストレス","")))</f>
        <v/>
      </c>
      <c r="J114" s="4" t="str">
        <f aca="false">IF(I114="","",IF(I114&lt;=-100000,"✓ショート極端",IF(I114&gt;=100000,"(ロング極端)","")))</f>
        <v/>
      </c>
      <c r="K114" s="6" t="str">
        <f aca="false">IF(COUNTA(B114,D114,E114,F114,H114,I114)=0,"",(IF(C114&lt;&gt;"",1,0))+(IF(AND(E114&lt;&gt;"",N(E114)&gt;=1),1,0))+(IF(G114&lt;&gt;"",1,0))+(IF(H114=1,1,0))+(IF(LEFT(J114,1)="✓",1,0)))</f>
        <v/>
      </c>
    </row>
    <row r="115" customFormat="false" ht="15" hidden="false" customHeight="false" outlineLevel="0" collapsed="false">
      <c r="A115" s="3" t="s">
        <v>143</v>
      </c>
      <c r="C115" s="4" t="str">
        <f aca="false">IF(B115="","",IF(B115&gt;=25,"危機",IF(B115&gt;=15,"無秩序",IF(B115&gt;=12,"警戒",""))))</f>
        <v/>
      </c>
      <c r="E115" s="5"/>
      <c r="G115" s="4" t="str">
        <f aca="false">IF(F115="","",IF(F115&lt;=-200,"危機",IF(F115&lt;=-80,"ストレス","")))</f>
        <v/>
      </c>
      <c r="J115" s="4" t="str">
        <f aca="false">IF(I115="","",IF(I115&lt;=-100000,"✓ショート極端",IF(I115&gt;=100000,"(ロング極端)","")))</f>
        <v/>
      </c>
      <c r="K115" s="6" t="str">
        <f aca="false">IF(COUNTA(B115,D115,E115,F115,H115,I115)=0,"",(IF(C115&lt;&gt;"",1,0))+(IF(AND(E115&lt;&gt;"",N(E115)&gt;=1),1,0))+(IF(G115&lt;&gt;"",1,0))+(IF(H115=1,1,0))+(IF(LEFT(J115,1)="✓",1,0)))</f>
        <v/>
      </c>
    </row>
    <row r="116" customFormat="false" ht="15" hidden="false" customHeight="false" outlineLevel="0" collapsed="false">
      <c r="A116" s="3" t="s">
        <v>144</v>
      </c>
      <c r="C116" s="4" t="str">
        <f aca="false">IF(B116="","",IF(B116&gt;=25,"危機",IF(B116&gt;=15,"無秩序",IF(B116&gt;=12,"警戒",""))))</f>
        <v/>
      </c>
      <c r="E116" s="5"/>
      <c r="G116" s="4" t="str">
        <f aca="false">IF(F116="","",IF(F116&lt;=-200,"危機",IF(F116&lt;=-80,"ストレス","")))</f>
        <v/>
      </c>
      <c r="J116" s="4" t="str">
        <f aca="false">IF(I116="","",IF(I116&lt;=-100000,"✓ショート極端",IF(I116&gt;=100000,"(ロング極端)","")))</f>
        <v/>
      </c>
      <c r="K116" s="6" t="str">
        <f aca="false">IF(COUNTA(B116,D116,E116,F116,H116,I116)=0,"",(IF(C116&lt;&gt;"",1,0))+(IF(AND(E116&lt;&gt;"",N(E116)&gt;=1),1,0))+(IF(G116&lt;&gt;"",1,0))+(IF(H116=1,1,0))+(IF(LEFT(J116,1)="✓",1,0)))</f>
        <v/>
      </c>
    </row>
    <row r="117" customFormat="false" ht="15" hidden="false" customHeight="false" outlineLevel="0" collapsed="false">
      <c r="A117" s="3" t="s">
        <v>145</v>
      </c>
      <c r="C117" s="4" t="str">
        <f aca="false">IF(B117="","",IF(B117&gt;=25,"危機",IF(B117&gt;=15,"無秩序",IF(B117&gt;=12,"警戒",""))))</f>
        <v/>
      </c>
      <c r="E117" s="5"/>
      <c r="G117" s="4" t="str">
        <f aca="false">IF(F117="","",IF(F117&lt;=-200,"危機",IF(F117&lt;=-80,"ストレス","")))</f>
        <v/>
      </c>
      <c r="J117" s="4" t="str">
        <f aca="false">IF(I117="","",IF(I117&lt;=-100000,"✓ショート極端",IF(I117&gt;=100000,"(ロング極端)","")))</f>
        <v/>
      </c>
      <c r="K117" s="6" t="str">
        <f aca="false">IF(COUNTA(B117,D117,E117,F117,H117,I117)=0,"",(IF(C117&lt;&gt;"",1,0))+(IF(AND(E117&lt;&gt;"",N(E117)&gt;=1),1,0))+(IF(G117&lt;&gt;"",1,0))+(IF(H117=1,1,0))+(IF(LEFT(J117,1)="✓",1,0)))</f>
        <v/>
      </c>
    </row>
    <row r="118" customFormat="false" ht="15" hidden="false" customHeight="false" outlineLevel="0" collapsed="false">
      <c r="A118" s="3" t="s">
        <v>146</v>
      </c>
      <c r="C118" s="4" t="str">
        <f aca="false">IF(B118="","",IF(B118&gt;=25,"危機",IF(B118&gt;=15,"無秩序",IF(B118&gt;=12,"警戒",""))))</f>
        <v/>
      </c>
      <c r="E118" s="5"/>
      <c r="G118" s="4" t="str">
        <f aca="false">IF(F118="","",IF(F118&lt;=-200,"危機",IF(F118&lt;=-80,"ストレス","")))</f>
        <v/>
      </c>
      <c r="J118" s="4" t="str">
        <f aca="false">IF(I118="","",IF(I118&lt;=-100000,"✓ショート極端",IF(I118&gt;=100000,"(ロング極端)","")))</f>
        <v/>
      </c>
      <c r="K118" s="6" t="str">
        <f aca="false">IF(COUNTA(B118,D118,E118,F118,H118,I118)=0,"",(IF(C118&lt;&gt;"",1,0))+(IF(AND(E118&lt;&gt;"",N(E118)&gt;=1),1,0))+(IF(G118&lt;&gt;"",1,0))+(IF(H118=1,1,0))+(IF(LEFT(J118,1)="✓",1,0)))</f>
        <v/>
      </c>
    </row>
    <row r="119" customFormat="false" ht="15" hidden="false" customHeight="false" outlineLevel="0" collapsed="false">
      <c r="A119" s="3" t="s">
        <v>147</v>
      </c>
      <c r="C119" s="4" t="str">
        <f aca="false">IF(B119="","",IF(B119&gt;=25,"危機",IF(B119&gt;=15,"無秩序",IF(B119&gt;=12,"警戒",""))))</f>
        <v/>
      </c>
      <c r="E119" s="5"/>
      <c r="G119" s="4" t="str">
        <f aca="false">IF(F119="","",IF(F119&lt;=-200,"危機",IF(F119&lt;=-80,"ストレス","")))</f>
        <v/>
      </c>
      <c r="J119" s="4" t="str">
        <f aca="false">IF(I119="","",IF(I119&lt;=-100000,"✓ショート極端",IF(I119&gt;=100000,"(ロング極端)","")))</f>
        <v/>
      </c>
      <c r="K119" s="6" t="str">
        <f aca="false">IF(COUNTA(B119,D119,E119,F119,H119,I119)=0,"",(IF(C119&lt;&gt;"",1,0))+(IF(AND(E119&lt;&gt;"",N(E119)&gt;=1),1,0))+(IF(G119&lt;&gt;"",1,0))+(IF(H119=1,1,0))+(IF(LEFT(J119,1)="✓",1,0)))</f>
        <v/>
      </c>
    </row>
    <row r="120" customFormat="false" ht="15" hidden="false" customHeight="false" outlineLevel="0" collapsed="false">
      <c r="A120" s="3" t="s">
        <v>148</v>
      </c>
      <c r="C120" s="4" t="str">
        <f aca="false">IF(B120="","",IF(B120&gt;=25,"危機",IF(B120&gt;=15,"無秩序",IF(B120&gt;=12,"警戒",""))))</f>
        <v/>
      </c>
      <c r="E120" s="5"/>
      <c r="G120" s="4" t="str">
        <f aca="false">IF(F120="","",IF(F120&lt;=-200,"危機",IF(F120&lt;=-80,"ストレス","")))</f>
        <v/>
      </c>
      <c r="J120" s="4" t="str">
        <f aca="false">IF(I120="","",IF(I120&lt;=-100000,"✓ショート極端",IF(I120&gt;=100000,"(ロング極端)","")))</f>
        <v/>
      </c>
      <c r="K120" s="6" t="str">
        <f aca="false">IF(COUNTA(B120,D120,E120,F120,H120,I120)=0,"",(IF(C120&lt;&gt;"",1,0))+(IF(AND(E120&lt;&gt;"",N(E120)&gt;=1),1,0))+(IF(G120&lt;&gt;"",1,0))+(IF(H120=1,1,0))+(IF(LEFT(J120,1)="✓",1,0)))</f>
        <v/>
      </c>
    </row>
    <row r="121" customFormat="false" ht="15" hidden="false" customHeight="false" outlineLevel="0" collapsed="false">
      <c r="A121" s="3" t="s">
        <v>149</v>
      </c>
      <c r="C121" s="4" t="str">
        <f aca="false">IF(B121="","",IF(B121&gt;=25,"危機",IF(B121&gt;=15,"無秩序",IF(B121&gt;=12,"警戒",""))))</f>
        <v/>
      </c>
      <c r="E121" s="5"/>
      <c r="G121" s="4" t="str">
        <f aca="false">IF(F121="","",IF(F121&lt;=-200,"危機",IF(F121&lt;=-80,"ストレス","")))</f>
        <v/>
      </c>
      <c r="I121" s="7" t="n">
        <v>-41400</v>
      </c>
      <c r="J121" s="4" t="str">
        <f aca="false">IF(I121="","",IF(I121&lt;=-100000,"✓ショート極端",IF(I121&gt;=100000,"(ロング極端)","")))</f>
        <v/>
      </c>
      <c r="K121" s="6" t="n">
        <f aca="false">IF(COUNTA(B121,D121,E121,F121,H121,I121)=0,"",(IF(C121&lt;&gt;"",1,0))+(IF(AND(E121&lt;&gt;"",N(E121)&gt;=1),1,0))+(IF(G121&lt;&gt;"",1,0))+(IF(H121=1,1,0))+(IF(LEFT(J121,1)="✓",1,0)))</f>
        <v>0</v>
      </c>
      <c r="L121" s="9" t="s">
        <v>150</v>
      </c>
    </row>
    <row r="122" customFormat="false" ht="15" hidden="false" customHeight="false" outlineLevel="0" collapsed="false">
      <c r="A122" s="3" t="s">
        <v>151</v>
      </c>
      <c r="C122" s="4" t="str">
        <f aca="false">IF(B122="","",IF(B122&gt;=25,"危機",IF(B122&gt;=15,"無秩序",IF(B122&gt;=12,"警戒",""))))</f>
        <v/>
      </c>
      <c r="D122" s="7" t="n">
        <v>-3</v>
      </c>
      <c r="E122" s="8" t="n">
        <v>1</v>
      </c>
      <c r="G122" s="4" t="str">
        <f aca="false">IF(F122="","",IF(F122&lt;=-200,"危機",IF(F122&lt;=-80,"ストレス","")))</f>
        <v/>
      </c>
      <c r="J122" s="4" t="str">
        <f aca="false">IF(I122="","",IF(I122&lt;=-100000,"✓ショート極端",IF(I122&gt;=100000,"(ロング極端)","")))</f>
        <v/>
      </c>
      <c r="K122" s="6" t="n">
        <f aca="false">IF(COUNTA(B122,D122,E122,F122,H122,I122)=0,"",(IF(C122&lt;&gt;"",1,0))+(IF(AND(E122&lt;&gt;"",N(E122)&gt;=1),1,0))+(IF(G122&lt;&gt;"",1,0))+(IF(H122=1,1,0))+(IF(LEFT(J122,1)="✓",1,0)))</f>
        <v>1</v>
      </c>
      <c r="L122" s="9" t="s">
        <v>152</v>
      </c>
    </row>
    <row r="123" customFormat="false" ht="15" hidden="false" customHeight="false" outlineLevel="0" collapsed="false">
      <c r="A123" s="3" t="s">
        <v>153</v>
      </c>
      <c r="C123" s="4" t="str">
        <f aca="false">IF(B123="","",IF(B123&gt;=25,"危機",IF(B123&gt;=15,"無秩序",IF(B123&gt;=12,"警戒",""))))</f>
        <v/>
      </c>
      <c r="E123" s="5"/>
      <c r="G123" s="4" t="str">
        <f aca="false">IF(F123="","",IF(F123&lt;=-200,"危機",IF(F123&lt;=-80,"ストレス","")))</f>
        <v/>
      </c>
      <c r="J123" s="4" t="str">
        <f aca="false">IF(I123="","",IF(I123&lt;=-100000,"✓ショート極端",IF(I123&gt;=100000,"(ロング極端)","")))</f>
        <v/>
      </c>
      <c r="K123" s="6" t="str">
        <f aca="false">IF(COUNTA(B123,D123,E123,F123,H123,I123)=0,"",(IF(C123&lt;&gt;"",1,0))+(IF(AND(E123&lt;&gt;"",N(E123)&gt;=1),1,0))+(IF(G123&lt;&gt;"",1,0))+(IF(H123=1,1,0))+(IF(LEFT(J123,1)="✓",1,0)))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8"/>
    <col collapsed="false" customWidth="true" hidden="false" outlineLevel="0" max="3" min="3" style="0" width="46"/>
    <col collapsed="false" customWidth="true" hidden="false" outlineLevel="0" max="4" min="4" style="0" width="52"/>
  </cols>
  <sheetData>
    <row r="1" customFormat="false" ht="17.15" hidden="false" customHeight="false" outlineLevel="0" collapsed="false">
      <c r="A1" s="11" t="s">
        <v>154</v>
      </c>
      <c r="B1" s="11" t="s">
        <v>155</v>
      </c>
      <c r="C1" s="11" t="s">
        <v>156</v>
      </c>
      <c r="D1" s="11" t="s">
        <v>157</v>
      </c>
    </row>
    <row r="2" customFormat="false" ht="15" hidden="false" customHeight="false" outlineLevel="0" collapsed="false">
      <c r="A2" s="12" t="s">
        <v>158</v>
      </c>
      <c r="B2" s="12" t="s">
        <v>159</v>
      </c>
      <c r="C2" s="13" t="s">
        <v>160</v>
      </c>
      <c r="D2" s="13" t="s">
        <v>161</v>
      </c>
    </row>
    <row r="3" customFormat="false" ht="29.85" hidden="false" customHeight="false" outlineLevel="0" collapsed="false">
      <c r="A3" s="13" t="s">
        <v>162</v>
      </c>
      <c r="B3" s="12" t="s">
        <v>163</v>
      </c>
      <c r="C3" s="12" t="s">
        <v>164</v>
      </c>
      <c r="D3" s="13" t="s">
        <v>165</v>
      </c>
    </row>
    <row r="4" customFormat="false" ht="15" hidden="false" customHeight="false" outlineLevel="0" collapsed="false">
      <c r="A4" s="13" t="s">
        <v>166</v>
      </c>
      <c r="B4" s="12" t="s">
        <v>167</v>
      </c>
      <c r="C4" s="13" t="s">
        <v>168</v>
      </c>
      <c r="D4" s="13" t="s">
        <v>169</v>
      </c>
    </row>
    <row r="5" customFormat="false" ht="26.85" hidden="false" customHeight="false" outlineLevel="0" collapsed="false">
      <c r="A5" s="12" t="s">
        <v>170</v>
      </c>
      <c r="B5" s="12" t="s">
        <v>171</v>
      </c>
      <c r="C5" s="12" t="s">
        <v>172</v>
      </c>
      <c r="D5" s="12" t="s">
        <v>173</v>
      </c>
    </row>
    <row r="6" customFormat="false" ht="15" hidden="false" customHeight="false" outlineLevel="0" collapsed="false">
      <c r="A6" s="13" t="s">
        <v>174</v>
      </c>
      <c r="B6" s="13" t="s">
        <v>175</v>
      </c>
      <c r="C6" s="12" t="s">
        <v>176</v>
      </c>
      <c r="D6" s="13" t="s">
        <v>177</v>
      </c>
    </row>
    <row r="7" customFormat="false" ht="15" hidden="false" customHeight="false" outlineLevel="0" collapsed="false">
      <c r="A7" s="12" t="s">
        <v>10</v>
      </c>
      <c r="B7" s="12" t="s">
        <v>10</v>
      </c>
      <c r="C7" s="12" t="s">
        <v>178</v>
      </c>
      <c r="D7" s="13" t="s">
        <v>179</v>
      </c>
    </row>
    <row r="8" customFormat="false" ht="15" hidden="false" customHeight="false" outlineLevel="0" collapsed="false">
      <c r="A8" s="12"/>
      <c r="B8" s="12"/>
      <c r="C8" s="12"/>
      <c r="D8" s="12"/>
    </row>
    <row r="9" customFormat="false" ht="29.85" hidden="false" customHeight="false" outlineLevel="0" collapsed="false">
      <c r="A9" s="12" t="s">
        <v>180</v>
      </c>
      <c r="B9" s="12"/>
      <c r="C9" s="12"/>
      <c r="D9" s="12" t="s">
        <v>181</v>
      </c>
    </row>
    <row r="10" customFormat="false" ht="29.85" hidden="false" customHeight="false" outlineLevel="0" collapsed="false">
      <c r="A10" s="12" t="s">
        <v>182</v>
      </c>
      <c r="B10" s="12"/>
      <c r="C10" s="12"/>
      <c r="D10" s="12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66"/>
  </cols>
  <sheetData>
    <row r="1" customFormat="false" ht="17.15" hidden="false" customHeight="false" outlineLevel="0" collapsed="false">
      <c r="A1" s="11" t="s">
        <v>155</v>
      </c>
      <c r="B1" s="11" t="s">
        <v>184</v>
      </c>
      <c r="C1" s="11" t="s">
        <v>185</v>
      </c>
    </row>
    <row r="2" customFormat="false" ht="29.85" hidden="false" customHeight="false" outlineLevel="0" collapsed="false">
      <c r="A2" s="12" t="s">
        <v>159</v>
      </c>
      <c r="B2" s="13" t="s">
        <v>186</v>
      </c>
      <c r="C2" s="13" t="s">
        <v>187</v>
      </c>
    </row>
    <row r="3" customFormat="false" ht="15" hidden="false" customHeight="false" outlineLevel="0" collapsed="false">
      <c r="A3" s="12" t="s">
        <v>163</v>
      </c>
      <c r="B3" s="12" t="s">
        <v>188</v>
      </c>
      <c r="C3" s="12" t="s">
        <v>189</v>
      </c>
    </row>
    <row r="4" customFormat="false" ht="29.85" hidden="false" customHeight="false" outlineLevel="0" collapsed="false">
      <c r="A4" s="12" t="s">
        <v>167</v>
      </c>
      <c r="B4" s="13" t="s">
        <v>190</v>
      </c>
      <c r="C4" s="13" t="s">
        <v>191</v>
      </c>
    </row>
    <row r="5" customFormat="false" ht="15" hidden="false" customHeight="false" outlineLevel="0" collapsed="false">
      <c r="A5" s="12" t="s">
        <v>171</v>
      </c>
      <c r="B5" s="13" t="s">
        <v>192</v>
      </c>
      <c r="C5" s="13" t="s">
        <v>193</v>
      </c>
    </row>
    <row r="6" customFormat="false" ht="29.85" hidden="false" customHeight="false" outlineLevel="0" collapsed="false">
      <c r="A6" s="13" t="s">
        <v>175</v>
      </c>
      <c r="B6" s="13" t="s">
        <v>194</v>
      </c>
      <c r="C6" s="13" t="s">
        <v>195</v>
      </c>
    </row>
    <row r="7" customFormat="false" ht="15" hidden="false" customHeight="false" outlineLevel="0" collapsed="false">
      <c r="A7" s="12"/>
      <c r="B7" s="12"/>
      <c r="C7" s="12"/>
    </row>
    <row r="8" customFormat="false" ht="15" hidden="false" customHeight="false" outlineLevel="0" collapsed="false">
      <c r="A8" s="13" t="s">
        <v>196</v>
      </c>
      <c r="B8" s="13" t="s">
        <v>197</v>
      </c>
      <c r="C8" s="13" t="s">
        <v>198</v>
      </c>
    </row>
    <row r="9" customFormat="false" ht="15" hidden="false" customHeight="false" outlineLevel="0" collapsed="false">
      <c r="A9" s="13" t="s">
        <v>199</v>
      </c>
      <c r="B9" s="13" t="s">
        <v>200</v>
      </c>
      <c r="C9" s="12" t="s">
        <v>201</v>
      </c>
    </row>
    <row r="10" customFormat="false" ht="15" hidden="false" customHeight="false" outlineLevel="0" collapsed="false">
      <c r="A10" s="12"/>
      <c r="B10" s="12"/>
      <c r="C10" s="12"/>
    </row>
    <row r="11" customFormat="false" ht="29.85" hidden="false" customHeight="false" outlineLevel="0" collapsed="false">
      <c r="A11" s="12" t="s">
        <v>202</v>
      </c>
      <c r="B11" s="12"/>
      <c r="C11" s="13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2026-05-31T14:58:13Z</dcterms:created>
  <dc:creator>openpyxl</dc:creator>
  <dc:description/>
  <dc:language>en-US</dc:language>
  <cp:lastModifiedBy/>
  <dcterms:modified xsi:type="dcterms:W3CDTF">2026-05-31T14:58:13Z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