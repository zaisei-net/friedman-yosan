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手入力_フォワード" sheetId="1" state="visible" r:id="rId3"/>
    <sheet name="自動計算_ベーシス" sheetId="2" state="visible" r:id="rId4"/>
    <sheet name="手順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Noto Sans CJK SC"/>
            <family val="2"/>
          </rPr>
          <t xml:space="preserve">同じ画面のスポット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またはお手元の日銀スポット同日値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。</t>
        </r>
        <r>
          <rPr>
            <sz val="10"/>
            <rFont val="Arial"/>
            <family val="2"/>
          </rPr>
          <t xml:space="preserve">¥/$</t>
        </r>
        <r>
          <rPr>
            <sz val="10"/>
            <rFont val="Noto Sans CJK SC"/>
            <family val="2"/>
          </rPr>
          <t xml:space="preserve">。</t>
        </r>
      </text>
    </comment>
    <comment ref="D1" authorId="0">
      <text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カ月フォワードポイント。</t>
        </r>
        <r>
          <rPr>
            <sz val="10"/>
            <rFont val="Arial"/>
            <family val="2"/>
          </rPr>
          <t xml:space="preserve">investing.com/FXEmpire</t>
        </r>
        <r>
          <rPr>
            <sz val="10"/>
            <rFont val="Noto Sans CJK SC"/>
            <family val="2"/>
          </rPr>
          <t xml:space="preserve">の</t>
        </r>
        <r>
          <rPr>
            <sz val="10"/>
            <rFont val="Arial"/>
            <family val="2"/>
          </rPr>
          <t xml:space="preserve">USD/JPY forward rates</t>
        </r>
        <r>
          <rPr>
            <sz val="10"/>
            <rFont val="Noto Sans CJK SC"/>
            <family val="2"/>
          </rPr>
          <t xml:space="preserve">で</t>
        </r>
        <r>
          <rPr>
            <sz val="10"/>
            <rFont val="Arial"/>
            <family val="2"/>
          </rPr>
          <t xml:space="preserve">tenor=3M</t>
        </r>
        <r>
          <rPr>
            <sz val="10"/>
            <rFont val="Noto Sans CJK SC"/>
            <family val="2"/>
          </rPr>
          <t xml:space="preserve">。単位は「銭」</t>
        </r>
        <r>
          <rPr>
            <sz val="10"/>
            <rFont val="Arial"/>
            <family val="2"/>
          </rPr>
          <t xml:space="preserve">(=0.01</t>
        </r>
        <r>
          <rPr>
            <sz val="10"/>
            <rFont val="Noto Sans CJK SC"/>
            <family val="2"/>
          </rPr>
          <t xml:space="preserve">円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で記録。符号</t>
        </r>
        <r>
          <rPr>
            <sz val="10"/>
            <rFont val="Arial"/>
            <family val="2"/>
          </rPr>
          <t xml:space="preserve">:</t>
        </r>
        <r>
          <rPr>
            <sz val="10"/>
            <rFont val="Noto Sans CJK SC"/>
            <family val="2"/>
          </rPr>
          <t xml:space="preserve">円のフォワードは通常ディスカウント→数値はマイナス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例 </t>
        </r>
        <r>
          <rPr>
            <sz val="10"/>
            <rFont val="Arial"/>
            <family val="2"/>
          </rPr>
          <t xml:space="preserve">-180</t>
        </r>
        <r>
          <rPr>
            <sz val="10"/>
            <rFont val="Noto Sans CJK SC"/>
            <family val="2"/>
          </rPr>
          <t xml:space="preserve">銭</t>
        </r>
        <r>
          <rPr>
            <sz val="10"/>
            <rFont val="Arial"/>
            <family val="2"/>
          </rPr>
          <t xml:space="preserve">=-1.80</t>
        </r>
        <r>
          <rPr>
            <sz val="10"/>
            <rFont val="Noto Sans CJK SC"/>
            <family val="2"/>
          </rPr>
          <t xml:space="preserve">円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。</t>
        </r>
        <r>
          <rPr>
            <sz val="10"/>
            <rFont val="Arial"/>
            <family val="2"/>
          </rPr>
          <t xml:space="preserve">bid/ask</t>
        </r>
        <r>
          <rPr>
            <sz val="10"/>
            <rFont val="Noto Sans CJK SC"/>
            <family val="2"/>
          </rPr>
          <t xml:space="preserve">中値で。</t>
        </r>
      </text>
    </comment>
    <comment ref="F1" authorId="0">
      <text>
        <r>
          <rPr>
            <sz val="10"/>
            <rFont val="Noto Sans CJK SC"/>
            <family val="2"/>
          </rPr>
          <t xml:space="preserve">米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カ月。</t>
        </r>
        <r>
          <rPr>
            <sz val="10"/>
            <rFont val="Arial"/>
            <family val="2"/>
          </rPr>
          <t xml:space="preserve">FRED DGS3MO(T</t>
        </r>
        <r>
          <rPr>
            <sz val="10"/>
            <rFont val="Noto Sans CJK SC"/>
            <family val="2"/>
          </rPr>
          <t xml:space="preserve">ビル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または</t>
        </r>
        <r>
          <rPr>
            <sz val="10"/>
            <rFont val="Arial"/>
            <family val="2"/>
          </rPr>
          <t xml:space="preserve">SOFR90DAYAVG</t>
        </r>
        <r>
          <rPr>
            <sz val="10"/>
            <rFont val="Noto Sans CJK SC"/>
            <family val="2"/>
          </rPr>
          <t xml:space="preserve">。</t>
        </r>
        <r>
          <rPr>
            <sz val="10"/>
            <rFont val="Arial"/>
            <family val="2"/>
          </rPr>
          <t xml:space="preserve">%</t>
        </r>
        <r>
          <rPr>
            <sz val="10"/>
            <rFont val="Noto Sans CJK SC"/>
            <family val="2"/>
          </rPr>
          <t xml:space="preserve">表記。</t>
        </r>
      </text>
    </comment>
    <comment ref="G1" authorId="0">
      <text>
        <r>
          <rPr>
            <sz val="10"/>
            <rFont val="Noto Sans CJK SC"/>
            <family val="2"/>
          </rPr>
          <t xml:space="preserve">円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Noto Sans CJK SC"/>
            <family val="2"/>
          </rPr>
          <t xml:space="preserve">カ月。全銀協</t>
        </r>
        <r>
          <rPr>
            <sz val="10"/>
            <rFont val="Arial"/>
            <family val="2"/>
          </rPr>
          <t xml:space="preserve">TIBOR(3M)</t>
        </r>
        <r>
          <rPr>
            <sz val="10"/>
            <rFont val="Noto Sans CJK SC"/>
            <family val="2"/>
          </rPr>
          <t xml:space="preserve">または日銀</t>
        </r>
        <r>
          <rPr>
            <sz val="10"/>
            <rFont val="Arial"/>
            <family val="2"/>
          </rPr>
          <t xml:space="preserve">TONA</t>
        </r>
        <r>
          <rPr>
            <sz val="10"/>
            <rFont val="Noto Sans CJK SC"/>
            <family val="2"/>
          </rPr>
          <t xml:space="preserve">系。</t>
        </r>
        <r>
          <rPr>
            <sz val="10"/>
            <rFont val="Arial"/>
            <family val="2"/>
          </rPr>
          <t xml:space="preserve">%</t>
        </r>
        <r>
          <rPr>
            <sz val="10"/>
            <rFont val="Noto Sans CJK SC"/>
            <family val="2"/>
          </rPr>
          <t xml:space="preserve">表記。マイナス金利期は負値そのまま。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" authorId="0">
      <text>
        <r>
          <rPr>
            <sz val="10"/>
            <rFont val="Noto Sans CJK SC"/>
            <family val="2"/>
          </rPr>
          <t xml:space="preserve">負</t>
        </r>
        <r>
          <rPr>
            <sz val="10"/>
            <rFont val="Arial"/>
            <family val="2"/>
          </rPr>
          <t xml:space="preserve">=</t>
        </r>
        <r>
          <rPr>
            <sz val="10"/>
            <rFont val="Noto Sans CJK SC"/>
            <family val="2"/>
          </rPr>
          <t xml:space="preserve">ドル調達割高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通常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。</t>
        </r>
        <r>
          <rPr>
            <sz val="10"/>
            <rFont val="Arial"/>
            <family val="2"/>
          </rPr>
          <t xml:space="preserve">-80bp</t>
        </r>
        <r>
          <rPr>
            <sz val="10"/>
            <rFont val="Noto Sans CJK SC"/>
            <family val="2"/>
          </rPr>
          <t xml:space="preserve">以深</t>
        </r>
        <r>
          <rPr>
            <sz val="10"/>
            <rFont val="Arial"/>
            <family val="2"/>
          </rPr>
          <t xml:space="preserve">=</t>
        </r>
        <r>
          <rPr>
            <sz val="10"/>
            <rFont val="Noto Sans CJK SC"/>
            <family val="2"/>
          </rPr>
          <t xml:space="preserve">ストレス点灯。式は</t>
        </r>
        <r>
          <rPr>
            <sz val="10"/>
            <rFont val="Arial"/>
            <family val="2"/>
          </rPr>
          <t xml:space="preserve">Act/365</t>
        </r>
        <r>
          <rPr>
            <sz val="10"/>
            <rFont val="Noto Sans CJK SC"/>
            <family val="2"/>
          </rPr>
          <t xml:space="preserve">近似の簡易</t>
        </r>
        <r>
          <rPr>
            <sz val="10"/>
            <rFont val="Arial"/>
            <family val="2"/>
          </rPr>
          <t xml:space="preserve">CIP</t>
        </r>
        <r>
          <rPr>
            <sz val="10"/>
            <rFont val="Noto Sans CJK SC"/>
            <family val="2"/>
          </rPr>
          <t xml:space="preserve">。水準は端末値と数</t>
        </r>
        <r>
          <rPr>
            <sz val="10"/>
            <rFont val="Arial"/>
            <family val="2"/>
          </rPr>
          <t xml:space="preserve">bp</t>
        </r>
        <r>
          <rPr>
            <sz val="10"/>
            <rFont val="Noto Sans CJK SC"/>
            <family val="2"/>
          </rPr>
          <t xml:space="preserve">差が出るが点灯判定には十分。</t>
        </r>
      </text>
    </comment>
  </commentList>
</comments>
</file>

<file path=xl/sharedStrings.xml><?xml version="1.0" encoding="utf-8"?>
<sst xmlns="http://schemas.openxmlformats.org/spreadsheetml/2006/main" count="76" uniqueCount="66">
  <si>
    <r>
      <rPr>
        <b val="true"/>
        <sz val="11"/>
        <color rgb="FFFFFFFF"/>
        <rFont val="Noto Sans CJK SC"/>
        <family val="2"/>
      </rPr>
      <t xml:space="preserve">月</t>
    </r>
    <r>
      <rPr>
        <b val="true"/>
        <sz val="11"/>
        <color rgb="FFFFFFFF"/>
        <rFont val="Arial"/>
        <family val="0"/>
        <charset val="1"/>
      </rPr>
      <t xml:space="preserve">(YYYY-MM)</t>
    </r>
  </si>
  <si>
    <r>
      <rPr>
        <b val="true"/>
        <sz val="11"/>
        <color rgb="FFFFFFFF"/>
        <rFont val="Noto Sans CJK SC"/>
        <family val="2"/>
      </rPr>
      <t xml:space="preserve">取得日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月内代表日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</si>
  <si>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スポット</t>
    </r>
    <r>
      <rPr>
        <b val="true"/>
        <sz val="11"/>
        <color rgb="FFFFFFFF"/>
        <rFont val="Arial"/>
        <family val="0"/>
        <charset val="1"/>
      </rPr>
      <t xml:space="preserve">S(¥/$)</t>
    </r>
  </si>
  <si>
    <r>
      <rPr>
        <b val="true"/>
        <sz val="11"/>
        <color rgb="FFFFFFFF"/>
        <rFont val="Arial"/>
        <family val="0"/>
        <charset val="1"/>
      </rPr>
      <t xml:space="preserve">3M фwd</t>
    </r>
    <r>
      <rPr>
        <b val="true"/>
        <sz val="11"/>
        <color rgb="FFFFFFFF"/>
        <rFont val="Noto Sans CJK SC"/>
        <family val="2"/>
      </rPr>
      <t xml:space="preserve">ポイント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銭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</si>
  <si>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出所</t>
  </si>
  <si>
    <r>
      <rPr>
        <b val="true"/>
        <sz val="11"/>
        <color rgb="FFFFFFFF"/>
        <rFont val="Noto Sans CJK SC"/>
        <family val="2"/>
      </rPr>
      <t xml:space="preserve">米</t>
    </r>
    <r>
      <rPr>
        <b val="true"/>
        <sz val="11"/>
        <color rgb="FFFFFFFF"/>
        <rFont val="Arial"/>
        <family val="0"/>
        <charset val="1"/>
      </rPr>
      <t xml:space="preserve">3M</t>
    </r>
    <r>
      <rPr>
        <b val="true"/>
        <sz val="11"/>
        <color rgb="FFFFFFFF"/>
        <rFont val="Noto Sans CJK SC"/>
        <family val="2"/>
      </rPr>
      <t xml:space="preserve">金利</t>
    </r>
    <r>
      <rPr>
        <b val="true"/>
        <sz val="11"/>
        <color rgb="FFFFFFFF"/>
        <rFont val="Arial"/>
        <family val="0"/>
        <charset val="1"/>
      </rPr>
      <t xml:space="preserve">%(i_USD)</t>
    </r>
  </si>
  <si>
    <r>
      <rPr>
        <b val="true"/>
        <sz val="11"/>
        <color rgb="FFFFFFFF"/>
        <rFont val="Noto Sans CJK SC"/>
        <family val="2"/>
      </rPr>
      <t xml:space="preserve">円</t>
    </r>
    <r>
      <rPr>
        <b val="true"/>
        <sz val="11"/>
        <color rgb="FFFFFFFF"/>
        <rFont val="Arial"/>
        <family val="0"/>
        <charset val="1"/>
      </rPr>
      <t xml:space="preserve">3M</t>
    </r>
    <r>
      <rPr>
        <b val="true"/>
        <sz val="11"/>
        <color rgb="FFFFFFFF"/>
        <rFont val="Noto Sans CJK SC"/>
        <family val="2"/>
      </rPr>
      <t xml:space="preserve">金利</t>
    </r>
    <r>
      <rPr>
        <b val="true"/>
        <sz val="11"/>
        <color rgb="FFFFFFFF"/>
        <rFont val="Arial"/>
        <family val="0"/>
        <charset val="1"/>
      </rPr>
      <t xml:space="preserve">%(i_JPY)</t>
    </r>
  </si>
  <si>
    <t xml:space="preserve">金利出所</t>
  </si>
  <si>
    <t xml:space="preserve">優先</t>
  </si>
  <si>
    <t xml:space="preserve">メモ</t>
  </si>
  <si>
    <t xml:space="preserve">2016-09</t>
  </si>
  <si>
    <r>
      <rPr>
        <sz val="11"/>
        <color rgb="FF000000"/>
        <rFont val="Noto Sans CJK SC"/>
        <family val="2"/>
      </rPr>
      <t xml:space="preserve">第</t>
    </r>
    <r>
      <rPr>
        <sz val="11"/>
        <color rgb="FF000000"/>
        <rFont val="Arial"/>
        <family val="0"/>
        <charset val="1"/>
      </rPr>
      <t xml:space="preserve">1</t>
    </r>
  </si>
  <si>
    <r>
      <rPr>
        <i val="true"/>
        <sz val="9"/>
        <rFont val="Noto Sans CJK SC"/>
        <family val="2"/>
      </rPr>
      <t xml:space="preserve">米</t>
    </r>
    <r>
      <rPr>
        <i val="true"/>
        <sz val="9"/>
        <rFont val="Arial"/>
        <family val="0"/>
        <charset val="1"/>
      </rPr>
      <t xml:space="preserve">MMF</t>
    </r>
    <r>
      <rPr>
        <i val="true"/>
        <sz val="9"/>
        <rFont val="Noto Sans CJK SC"/>
        <family val="2"/>
      </rPr>
      <t xml:space="preserve">改革でベーシス構造拡大</t>
    </r>
  </si>
  <si>
    <t xml:space="preserve">2016-10</t>
  </si>
  <si>
    <t xml:space="preserve">2016-11</t>
  </si>
  <si>
    <t xml:space="preserve">2016-12</t>
  </si>
  <si>
    <r>
      <rPr>
        <i val="true"/>
        <sz val="9"/>
        <rFont val="Noto Sans CJK SC"/>
        <family val="2"/>
      </rPr>
      <t xml:space="preserve">年末ターン</t>
    </r>
    <r>
      <rPr>
        <i val="true"/>
        <sz val="9"/>
        <rFont val="Arial"/>
        <family val="0"/>
        <charset val="1"/>
      </rPr>
      <t xml:space="preserve">+12</t>
    </r>
    <r>
      <rPr>
        <i val="true"/>
        <sz val="9"/>
        <rFont val="Noto Sans CJK SC"/>
        <family val="2"/>
      </rPr>
      <t xml:space="preserve">月利上げ</t>
    </r>
  </si>
  <si>
    <t xml:space="preserve">2018-12</t>
  </si>
  <si>
    <r>
      <rPr>
        <i val="true"/>
        <sz val="9"/>
        <rFont val="Noto Sans CJK SC"/>
        <family val="2"/>
      </rPr>
      <t xml:space="preserve">四半期末ドル逼迫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著名</t>
    </r>
    <r>
      <rPr>
        <i val="true"/>
        <sz val="9"/>
        <rFont val="Arial"/>
        <family val="0"/>
        <charset val="1"/>
      </rPr>
      <t xml:space="preserve">)</t>
    </r>
  </si>
  <si>
    <t xml:space="preserve">2020-03</t>
  </si>
  <si>
    <r>
      <rPr>
        <i val="true"/>
        <sz val="9"/>
        <rFont val="Arial"/>
        <family val="0"/>
        <charset val="1"/>
      </rPr>
      <t xml:space="preserve">COVID</t>
    </r>
    <r>
      <rPr>
        <i val="true"/>
        <sz val="9"/>
        <rFont val="Noto Sans CJK SC"/>
        <family val="2"/>
      </rPr>
      <t xml:space="preserve">ドル危機</t>
    </r>
    <r>
      <rPr>
        <i val="true"/>
        <sz val="9"/>
        <rFont val="Arial"/>
        <family val="0"/>
        <charset val="1"/>
      </rPr>
      <t xml:space="preserve">(−100bp</t>
    </r>
    <r>
      <rPr>
        <i val="true"/>
        <sz val="9"/>
        <rFont val="Noto Sans CJK SC"/>
        <family val="2"/>
      </rPr>
      <t xml:space="preserve">超級の可能性</t>
    </r>
    <r>
      <rPr>
        <i val="true"/>
        <sz val="9"/>
        <rFont val="Arial"/>
        <family val="0"/>
        <charset val="1"/>
      </rPr>
      <t xml:space="preserve">)</t>
    </r>
  </si>
  <si>
    <t xml:space="preserve">2020-04</t>
  </si>
  <si>
    <r>
      <rPr>
        <i val="true"/>
        <sz val="9"/>
        <rFont val="Arial"/>
        <family val="0"/>
        <charset val="1"/>
      </rPr>
      <t xml:space="preserve">COVID</t>
    </r>
    <r>
      <rPr>
        <i val="true"/>
        <sz val="9"/>
        <rFont val="Noto Sans CJK SC"/>
        <family val="2"/>
      </rPr>
      <t xml:space="preserve">余波</t>
    </r>
  </si>
  <si>
    <t xml:space="preserve">2022-09</t>
  </si>
  <si>
    <r>
      <rPr>
        <sz val="11"/>
        <color rgb="FF000000"/>
        <rFont val="Noto Sans CJK SC"/>
        <family val="2"/>
      </rPr>
      <t xml:space="preserve">第</t>
    </r>
    <r>
      <rPr>
        <sz val="11"/>
        <color rgb="FF000000"/>
        <rFont val="Arial"/>
        <family val="0"/>
        <charset val="1"/>
      </rPr>
      <t xml:space="preserve">2</t>
    </r>
  </si>
  <si>
    <t xml:space="preserve">2022-10</t>
  </si>
  <si>
    <r>
      <rPr>
        <i val="true"/>
        <sz val="9"/>
        <rFont val="Noto Sans CJK SC"/>
        <family val="2"/>
      </rPr>
      <t xml:space="preserve">英ギルト危機</t>
    </r>
    <r>
      <rPr>
        <i val="true"/>
        <sz val="9"/>
        <rFont val="Arial"/>
        <family val="0"/>
        <charset val="1"/>
      </rPr>
      <t xml:space="preserve">+</t>
    </r>
    <r>
      <rPr>
        <i val="true"/>
        <sz val="9"/>
        <rFont val="Noto Sans CJK SC"/>
        <family val="2"/>
      </rPr>
      <t xml:space="preserve">介入</t>
    </r>
  </si>
  <si>
    <t xml:space="preserve">2022-11</t>
  </si>
  <si>
    <t xml:space="preserve">2024-07</t>
  </si>
  <si>
    <t xml:space="preserve">2024-08</t>
  </si>
  <si>
    <r>
      <rPr>
        <i val="true"/>
        <sz val="9"/>
        <rFont val="Noto Sans CJK SC"/>
        <family val="2"/>
      </rPr>
      <t xml:space="preserve">キャリー巻戻し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ベーシスは静かだった検証</t>
    </r>
    <r>
      <rPr>
        <i val="true"/>
        <sz val="9"/>
        <rFont val="Arial"/>
        <family val="0"/>
        <charset val="1"/>
      </rPr>
      <t xml:space="preserve">)</t>
    </r>
  </si>
  <si>
    <t xml:space="preserve">月</t>
  </si>
  <si>
    <t xml:space="preserve">S</t>
  </si>
  <si>
    <r>
      <rPr>
        <b val="true"/>
        <sz val="11"/>
        <color rgb="FFFFFFFF"/>
        <rFont val="Arial"/>
        <family val="0"/>
        <charset val="1"/>
      </rPr>
      <t xml:space="preserve">fwd</t>
    </r>
    <r>
      <rPr>
        <b val="true"/>
        <sz val="11"/>
        <color rgb="FFFFFFFF"/>
        <rFont val="Noto Sans CJK SC"/>
        <family val="2"/>
      </rPr>
      <t xml:space="preserve">ポイント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銭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</si>
  <si>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F=S+pt/100</t>
  </si>
  <si>
    <t xml:space="preserve">i_USD%</t>
  </si>
  <si>
    <t xml:space="preserve">i_JPY%</t>
  </si>
  <si>
    <r>
      <rPr>
        <b val="true"/>
        <sz val="11"/>
        <color rgb="FFFFFFFF"/>
        <rFont val="Noto Sans CJK SC"/>
        <family val="2"/>
      </rPr>
      <t xml:space="preserve">スワップ含意ドル金利</t>
    </r>
    <r>
      <rPr>
        <b val="true"/>
        <sz val="11"/>
        <color rgb="FFFFFFFF"/>
        <rFont val="Arial"/>
        <family val="0"/>
        <charset val="1"/>
      </rPr>
      <t xml:space="preserve">%</t>
    </r>
  </si>
  <si>
    <r>
      <rPr>
        <b val="true"/>
        <sz val="11"/>
        <color rgb="FFFFFFFF"/>
        <rFont val="Arial"/>
        <family val="0"/>
        <charset val="1"/>
      </rPr>
      <t xml:space="preserve">CIP</t>
    </r>
    <r>
      <rPr>
        <b val="true"/>
        <sz val="11"/>
        <color rgb="FFFFFFFF"/>
        <rFont val="Noto Sans CJK SC"/>
        <family val="2"/>
      </rPr>
      <t xml:space="preserve">理論金利差</t>
    </r>
    <r>
      <rPr>
        <b val="true"/>
        <sz val="11"/>
        <color rgb="FFFFFFFF"/>
        <rFont val="Arial"/>
        <family val="0"/>
        <charset val="1"/>
      </rPr>
      <t xml:space="preserve">%</t>
    </r>
  </si>
  <si>
    <r>
      <rPr>
        <b val="true"/>
        <sz val="11"/>
        <color rgb="FFFFFFFF"/>
        <rFont val="Noto Sans CJK SC"/>
        <family val="2"/>
      </rPr>
      <t xml:space="preserve">ベーシス</t>
    </r>
    <r>
      <rPr>
        <b val="true"/>
        <sz val="11"/>
        <color rgb="FFFFFFFF"/>
        <rFont val="Arial"/>
        <family val="0"/>
        <charset val="1"/>
      </rPr>
      <t xml:space="preserve">bp</t>
    </r>
  </si>
  <si>
    <t xml:space="preserve">区分</t>
  </si>
  <si>
    <r>
      <rPr>
        <b val="true"/>
        <sz val="13"/>
        <rFont val="Noto Sans CJK SC"/>
        <family val="2"/>
      </rPr>
      <t xml:space="preserve">案</t>
    </r>
    <r>
      <rPr>
        <b val="true"/>
        <sz val="13"/>
        <rFont val="Arial"/>
        <family val="0"/>
        <charset val="1"/>
      </rPr>
      <t xml:space="preserve">B </t>
    </r>
    <r>
      <rPr>
        <b val="true"/>
        <sz val="13"/>
        <rFont val="Noto Sans CJK SC"/>
        <family val="2"/>
      </rPr>
      <t xml:space="preserve">フォワード手取得 手順</t>
    </r>
  </si>
  <si>
    <t xml:space="preserve">ステップ</t>
  </si>
  <si>
    <t xml:space="preserve">内容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</si>
  <si>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フォワードポイント</t>
    </r>
  </si>
  <si>
    <r>
      <rPr>
        <sz val="10"/>
        <rFont val="Arial"/>
        <family val="0"/>
        <charset val="1"/>
      </rPr>
      <t xml:space="preserve">investing.com → USD/JPY → "Forward Rates"</t>
    </r>
    <r>
      <rPr>
        <sz val="10"/>
        <rFont val="Noto Sans CJK SC"/>
        <family val="2"/>
      </rPr>
      <t xml:space="preserve">、または</t>
    </r>
    <r>
      <rPr>
        <sz val="10"/>
        <rFont val="Arial"/>
        <family val="0"/>
        <charset val="1"/>
      </rPr>
      <t xml:space="preserve">FXEmpire</t>
    </r>
    <r>
      <rPr>
        <sz val="10"/>
        <rFont val="Noto Sans CJK SC"/>
        <family val="2"/>
      </rPr>
      <t xml:space="preserve">同等ページ。</t>
    </r>
    <r>
      <rPr>
        <sz val="10"/>
        <rFont val="Arial"/>
        <family val="0"/>
        <charset val="1"/>
      </rPr>
      <t xml:space="preserve">tenor=3M</t>
    </r>
    <r>
      <rPr>
        <sz val="10"/>
        <rFont val="Noto Sans CJK SC"/>
        <family val="2"/>
      </rPr>
      <t xml:space="preserve">の行の</t>
    </r>
    <r>
      <rPr>
        <sz val="10"/>
        <rFont val="Arial"/>
        <family val="0"/>
        <charset val="1"/>
      </rPr>
      <t xml:space="preserve">bid/ask</t>
    </r>
    <r>
      <rPr>
        <sz val="10"/>
        <rFont val="Noto Sans CJK SC"/>
        <family val="2"/>
      </rPr>
      <t xml:space="preserve">中値を読む。単位を銭</t>
    </r>
    <r>
      <rPr>
        <sz val="10"/>
        <rFont val="Arial"/>
        <family val="0"/>
        <charset val="1"/>
      </rPr>
      <t xml:space="preserve">(0.01</t>
    </r>
    <r>
      <rPr>
        <sz val="10"/>
        <rFont val="Noto Sans CJK SC"/>
        <family val="2"/>
      </rPr>
      <t xml:space="preserve">円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に統一。例</t>
    </r>
    <r>
      <rPr>
        <sz val="10"/>
        <rFont val="Arial"/>
        <family val="0"/>
        <charset val="1"/>
      </rPr>
      <t xml:space="preserve">:1.80</t>
    </r>
    <r>
      <rPr>
        <sz val="10"/>
        <rFont val="Noto Sans CJK SC"/>
        <family val="2"/>
      </rPr>
      <t xml:space="preserve">円ディスカウント</t>
    </r>
    <r>
      <rPr>
        <sz val="10"/>
        <rFont val="Arial"/>
        <family val="0"/>
        <charset val="1"/>
      </rPr>
      <t xml:space="preserve">= -180</t>
    </r>
    <r>
      <rPr>
        <sz val="10"/>
        <rFont val="Noto Sans CJK SC"/>
        <family val="2"/>
      </rPr>
      <t xml:space="preserve">銭。月内の代表日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四半期末月は月末営業日、それ以外は月中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で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点取れば十分。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</si>
  <si>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Noto Sans CJK SC"/>
        <family val="2"/>
      </rPr>
      <t xml:space="preserve">スポット</t>
    </r>
  </si>
  <si>
    <r>
      <rPr>
        <sz val="10"/>
        <rFont val="Noto Sans CJK SC"/>
        <family val="2"/>
      </rPr>
      <t xml:space="preserve">同じ画面のスポット、または手元の日銀スポットの同日値。</t>
    </r>
    <r>
      <rPr>
        <sz val="10"/>
        <rFont val="Arial"/>
        <family val="0"/>
        <charset val="1"/>
      </rPr>
      <t xml:space="preserve">¥/$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</si>
  <si>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米</t>
    </r>
    <r>
      <rPr>
        <sz val="10"/>
        <rFont val="Arial"/>
        <family val="0"/>
        <charset val="1"/>
      </rPr>
      <t xml:space="preserve">3M</t>
    </r>
    <r>
      <rPr>
        <sz val="10"/>
        <rFont val="Noto Sans CJK SC"/>
        <family val="2"/>
      </rPr>
      <t xml:space="preserve">金利</t>
    </r>
  </si>
  <si>
    <r>
      <rPr>
        <sz val="10"/>
        <rFont val="Arial"/>
        <family val="0"/>
        <charset val="1"/>
      </rPr>
      <t xml:space="preserve">FRED DGS3MO (https://fred.stlouisfed.org/series/DGS3MO) </t>
    </r>
    <r>
      <rPr>
        <sz val="10"/>
        <rFont val="Noto Sans CJK SC"/>
        <family val="2"/>
      </rPr>
      <t xml:space="preserve">の同日値</t>
    </r>
    <r>
      <rPr>
        <sz val="10"/>
        <rFont val="Arial"/>
        <family val="0"/>
        <charset val="1"/>
      </rPr>
      <t xml:space="preserve">%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2018</t>
    </r>
    <r>
      <rPr>
        <sz val="10"/>
        <rFont val="Noto Sans CJK SC"/>
        <family val="2"/>
      </rPr>
      <t xml:space="preserve">年以降は</t>
    </r>
    <r>
      <rPr>
        <sz val="10"/>
        <rFont val="Arial"/>
        <family val="0"/>
        <charset val="1"/>
      </rPr>
      <t xml:space="preserve">SOFR90DAYAVG</t>
    </r>
    <r>
      <rPr>
        <sz val="10"/>
        <rFont val="Noto Sans CJK SC"/>
        <family val="2"/>
      </rPr>
      <t xml:space="preserve">でも可。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</si>
  <si>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円</t>
    </r>
    <r>
      <rPr>
        <sz val="10"/>
        <rFont val="Arial"/>
        <family val="0"/>
        <charset val="1"/>
      </rPr>
      <t xml:space="preserve">3M</t>
    </r>
    <r>
      <rPr>
        <sz val="10"/>
        <rFont val="Noto Sans CJK SC"/>
        <family val="2"/>
      </rPr>
      <t xml:space="preserve">金利</t>
    </r>
  </si>
  <si>
    <r>
      <rPr>
        <sz val="10"/>
        <rFont val="Noto Sans CJK SC"/>
        <family val="2"/>
      </rPr>
      <t xml:space="preserve">全銀協 </t>
    </r>
    <r>
      <rPr>
        <sz val="10"/>
        <rFont val="Arial"/>
        <family val="0"/>
        <charset val="1"/>
      </rPr>
      <t xml:space="preserve">TIBOR 3</t>
    </r>
    <r>
      <rPr>
        <sz val="10"/>
        <rFont val="Noto Sans CJK SC"/>
        <family val="2"/>
      </rPr>
      <t xml:space="preserve">カ月 </t>
    </r>
    <r>
      <rPr>
        <sz val="10"/>
        <rFont val="Arial"/>
        <family val="0"/>
        <charset val="1"/>
      </rPr>
      <t xml:space="preserve">(https://www.jbatibor.or.jp) </t>
    </r>
    <r>
      <rPr>
        <sz val="10"/>
        <rFont val="Noto Sans CJK SC"/>
        <family val="2"/>
      </rPr>
      <t xml:space="preserve">または日銀</t>
    </r>
    <r>
      <rPr>
        <sz val="10"/>
        <rFont val="Arial"/>
        <family val="0"/>
        <charset val="1"/>
      </rPr>
      <t xml:space="preserve">TONA</t>
    </r>
    <r>
      <rPr>
        <sz val="10"/>
        <rFont val="Noto Sans CJK SC"/>
        <family val="2"/>
      </rPr>
      <t xml:space="preserve">。マイナス金利期</t>
    </r>
    <r>
      <rPr>
        <sz val="10"/>
        <rFont val="Arial"/>
        <family val="0"/>
        <charset val="1"/>
      </rPr>
      <t xml:space="preserve">(2016/2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2024)</t>
    </r>
    <r>
      <rPr>
        <sz val="10"/>
        <rFont val="Noto Sans CJK SC"/>
        <family val="2"/>
      </rPr>
      <t xml:space="preserve">は負値のまま入力。</t>
    </r>
  </si>
  <si>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入力</t>
    </r>
  </si>
  <si>
    <r>
      <rPr>
        <sz val="10"/>
        <rFont val="Noto Sans CJK SC"/>
        <family val="2"/>
      </rPr>
      <t xml:space="preserve">「手入力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フォワード」の黄色セルに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項目を記入。行は追加してよい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第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優先や任意月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</si>
  <si>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6. </t>
    </r>
    <r>
      <rPr>
        <sz val="10"/>
        <rFont val="Noto Sans CJK SC"/>
        <family val="2"/>
      </rPr>
      <t xml:space="preserve">自動計算</t>
    </r>
  </si>
  <si>
    <r>
      <rPr>
        <sz val="10"/>
        <rFont val="Noto Sans CJK SC"/>
        <family val="2"/>
      </rPr>
      <t xml:space="preserve">「自動計算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ベーシス」が</t>
    </r>
    <r>
      <rPr>
        <sz val="10"/>
        <rFont val="Arial"/>
        <family val="0"/>
        <charset val="1"/>
      </rPr>
      <t xml:space="preserve">bp</t>
    </r>
    <r>
      <rPr>
        <sz val="10"/>
        <rFont val="Noto Sans CJK SC"/>
        <family val="2"/>
      </rPr>
      <t xml:space="preserve">と区分を自動算出。−</t>
    </r>
    <r>
      <rPr>
        <sz val="10"/>
        <rFont val="Arial"/>
        <family val="0"/>
        <charset val="1"/>
      </rPr>
      <t xml:space="preserve">80</t>
    </r>
    <r>
      <rPr>
        <sz val="10"/>
        <rFont val="Noto Sans CJK SC"/>
        <family val="2"/>
      </rPr>
      <t xml:space="preserve">以深で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ストレス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点灯。</t>
    </r>
  </si>
  <si>
    <r>
      <rPr>
        <sz val="10"/>
        <rFont val="Arial"/>
        <family val="0"/>
        <charset val="1"/>
      </rPr>
      <t xml:space="preserve">7. </t>
    </r>
    <r>
      <rPr>
        <sz val="10"/>
        <rFont val="Noto Sans CJK SC"/>
        <family val="2"/>
      </rPr>
      <t xml:space="preserve">反映</t>
    </r>
  </si>
  <si>
    <r>
      <rPr>
        <sz val="10"/>
        <rFont val="Noto Sans CJK SC"/>
        <family val="2"/>
      </rPr>
      <t xml:space="preserve">算出された</t>
    </r>
    <r>
      <rPr>
        <sz val="10"/>
        <rFont val="Arial"/>
        <family val="0"/>
        <charset val="1"/>
      </rPr>
      <t xml:space="preserve">bp/</t>
    </r>
    <r>
      <rPr>
        <sz val="10"/>
        <rFont val="Noto Sans CJK SC"/>
        <family val="2"/>
      </rPr>
      <t xml:space="preserve">区分を本体 </t>
    </r>
    <r>
      <rPr>
        <sz val="10"/>
        <rFont val="Arial"/>
        <family val="0"/>
        <charset val="1"/>
      </rPr>
      <t xml:space="preserve">yen_grid_daily.xlsx </t>
    </r>
    <r>
      <rPr>
        <sz val="10"/>
        <rFont val="Noto Sans CJK SC"/>
        <family val="2"/>
      </rPr>
      <t xml:space="preserve">の該当月「</t>
    </r>
    <r>
      <rPr>
        <sz val="10"/>
        <rFont val="Arial"/>
        <family val="0"/>
        <charset val="1"/>
      </rPr>
      <t xml:space="preserve">XCCY</t>
    </r>
    <r>
      <rPr>
        <sz val="10"/>
        <rFont val="Noto Sans CJK SC"/>
        <family val="2"/>
      </rPr>
      <t xml:space="preserve">ベーシス</t>
    </r>
    <r>
      <rPr>
        <sz val="10"/>
        <rFont val="Arial"/>
        <family val="0"/>
        <charset val="1"/>
      </rPr>
      <t xml:space="preserve">3M</t>
    </r>
    <r>
      <rPr>
        <sz val="10"/>
        <rFont val="Noto Sans CJK SC"/>
        <family val="2"/>
      </rPr>
      <t xml:space="preserve">」列へ転記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または当方へ戻せば統合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</si>
  <si>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優先月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第</t>
    </r>
    <r>
      <rPr>
        <sz val="10"/>
        <rFont val="Arial"/>
        <family val="0"/>
        <charset val="1"/>
      </rPr>
      <t xml:space="preserve">1)</t>
    </r>
  </si>
  <si>
    <r>
      <rPr>
        <sz val="10"/>
        <rFont val="Arial"/>
        <family val="0"/>
        <charset val="1"/>
      </rPr>
      <t xml:space="preserve">2016-09,10,11,12 / 2018-12 / 2020-03,04 ← </t>
    </r>
    <r>
      <rPr>
        <sz val="10"/>
        <rFont val="Noto Sans CJK SC"/>
        <family val="2"/>
      </rPr>
      <t xml:space="preserve">ドル調達ストレスが実際に起きた本丸</t>
    </r>
  </si>
  <si>
    <r>
      <rPr>
        <sz val="10"/>
        <rFont val="Noto Sans CJK SC"/>
        <family val="2"/>
      </rPr>
      <t xml:space="preserve">優先月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第</t>
    </r>
    <r>
      <rPr>
        <sz val="10"/>
        <rFont val="Arial"/>
        <family val="0"/>
        <charset val="1"/>
      </rPr>
      <t xml:space="preserve">2)</t>
    </r>
  </si>
  <si>
    <r>
      <rPr>
        <sz val="10"/>
        <rFont val="Arial"/>
        <family val="0"/>
        <charset val="1"/>
      </rPr>
      <t xml:space="preserve">2022-09,10,11 / 2024-07,08 ← </t>
    </r>
    <r>
      <rPr>
        <sz val="10"/>
        <rFont val="Noto Sans CJK SC"/>
        <family val="2"/>
      </rPr>
      <t xml:space="preserve">円ボラ高だがベーシスは静かだった可能性の検証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非点灯確認に価値</t>
    </r>
    <r>
      <rPr>
        <sz val="10"/>
        <rFont val="Arial"/>
        <family val="0"/>
        <charset val="1"/>
      </rPr>
      <t xml:space="preserve">)</t>
    </r>
  </si>
  <si>
    <t xml:space="preserve">精度の注意</t>
  </si>
  <si>
    <r>
      <rPr>
        <sz val="10"/>
        <rFont val="Noto Sans CJK SC"/>
        <family val="2"/>
      </rPr>
      <t xml:space="preserve">本式は</t>
    </r>
    <r>
      <rPr>
        <sz val="10"/>
        <rFont val="Arial"/>
        <family val="0"/>
        <charset val="1"/>
      </rPr>
      <t xml:space="preserve">Act/365</t>
    </r>
    <r>
      <rPr>
        <sz val="10"/>
        <rFont val="Noto Sans CJK SC"/>
        <family val="2"/>
      </rPr>
      <t xml:space="preserve">の簡易</t>
    </r>
    <r>
      <rPr>
        <sz val="10"/>
        <rFont val="Arial"/>
        <family val="0"/>
        <charset val="1"/>
      </rPr>
      <t xml:space="preserve">CIP</t>
    </r>
    <r>
      <rPr>
        <sz val="10"/>
        <rFont val="Noto Sans CJK SC"/>
        <family val="2"/>
      </rPr>
      <t xml:space="preserve">。水準は</t>
    </r>
    <r>
      <rPr>
        <sz val="10"/>
        <rFont val="Arial"/>
        <family val="0"/>
        <charset val="1"/>
      </rPr>
      <t xml:space="preserve">Bloomberg JYBS3</t>
    </r>
    <r>
      <rPr>
        <sz val="10"/>
        <rFont val="Noto Sans CJK SC"/>
        <family val="2"/>
      </rPr>
      <t xml:space="preserve">と数</t>
    </r>
    <r>
      <rPr>
        <sz val="10"/>
        <rFont val="Arial"/>
        <family val="0"/>
        <charset val="1"/>
      </rPr>
      <t xml:space="preserve">bp</t>
    </r>
    <r>
      <rPr>
        <sz val="10"/>
        <rFont val="Noto Sans CJK SC"/>
        <family val="2"/>
      </rPr>
      <t xml:space="preserve">ずれるが、−</t>
    </r>
    <r>
      <rPr>
        <sz val="10"/>
        <rFont val="Arial"/>
        <family val="0"/>
        <charset val="1"/>
      </rPr>
      <t xml:space="preserve">80bp</t>
    </r>
    <r>
      <rPr>
        <sz val="10"/>
        <rFont val="Noto Sans CJK SC"/>
        <family val="2"/>
      </rPr>
      <t xml:space="preserve">級の点灯判定には十分。</t>
    </r>
    <r>
      <rPr>
        <sz val="10"/>
        <rFont val="Arial"/>
        <family val="0"/>
        <charset val="1"/>
      </rPr>
      <t xml:space="preserve">bp</t>
    </r>
    <r>
      <rPr>
        <sz val="10"/>
        <rFont val="Noto Sans CJK SC"/>
        <family val="2"/>
      </rPr>
      <t xml:space="preserve">の絶対値を論文等で使うなら端末値で裏取りを。</t>
    </r>
  </si>
  <si>
    <t xml:space="preserve">符号の注意</t>
  </si>
  <si>
    <r>
      <rPr>
        <sz val="10"/>
        <rFont val="Noto Sans CJK SC"/>
        <family val="2"/>
      </rPr>
      <t xml:space="preserve">ドル円ベーシスは通常マイナス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ドル調達割高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。プラスに出たら符号・単位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銭の正負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を再確認。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</si>
</sst>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Noto Sans CJK SC"/>
      <family val="2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  <font>
      <sz val="10"/>
      <name val="Noto Sans CJK SC"/>
      <family val="2"/>
    </font>
    <font>
      <sz val="10"/>
      <name val="Arial"/>
      <family val="2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7" min="6" style="0" width="14"/>
    <col collapsed="false" customWidth="true" hidden="false" outlineLevel="0" max="8" min="8" style="0" width="20"/>
    <col collapsed="false" customWidth="true" hidden="false" outlineLevel="0" max="9" min="9" style="0" width="7"/>
    <col collapsed="false" customWidth="true" hidden="false" outlineLevel="0" max="10" min="10" style="0" width="34"/>
  </cols>
  <sheetData>
    <row r="1" customFormat="false" ht="3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7.15" hidden="false" customHeight="false" outlineLevel="0" collapsed="false">
      <c r="A2" s="3" t="s">
        <v>10</v>
      </c>
      <c r="B2" s="4"/>
      <c r="C2" s="4"/>
      <c r="D2" s="4"/>
      <c r="E2" s="4"/>
      <c r="F2" s="4"/>
      <c r="G2" s="4"/>
      <c r="I2" s="5" t="s">
        <v>11</v>
      </c>
      <c r="J2" s="6" t="s">
        <v>12</v>
      </c>
    </row>
    <row r="3" customFormat="false" ht="17.15" hidden="false" customHeight="false" outlineLevel="0" collapsed="false">
      <c r="A3" s="3" t="s">
        <v>13</v>
      </c>
      <c r="B3" s="4"/>
      <c r="C3" s="4"/>
      <c r="D3" s="4"/>
      <c r="E3" s="4"/>
      <c r="F3" s="4"/>
      <c r="G3" s="4"/>
      <c r="I3" s="5" t="s">
        <v>11</v>
      </c>
    </row>
    <row r="4" customFormat="false" ht="17.15" hidden="false" customHeight="false" outlineLevel="0" collapsed="false">
      <c r="A4" s="3" t="s">
        <v>14</v>
      </c>
      <c r="B4" s="4"/>
      <c r="C4" s="4"/>
      <c r="D4" s="4"/>
      <c r="E4" s="4"/>
      <c r="F4" s="4"/>
      <c r="G4" s="4"/>
      <c r="I4" s="5" t="s">
        <v>11</v>
      </c>
    </row>
    <row r="5" customFormat="false" ht="17.15" hidden="false" customHeight="false" outlineLevel="0" collapsed="false">
      <c r="A5" s="3" t="s">
        <v>15</v>
      </c>
      <c r="B5" s="4"/>
      <c r="C5" s="4"/>
      <c r="D5" s="4"/>
      <c r="E5" s="4"/>
      <c r="F5" s="4"/>
      <c r="G5" s="4"/>
      <c r="I5" s="5" t="s">
        <v>11</v>
      </c>
      <c r="J5" s="6" t="s">
        <v>16</v>
      </c>
    </row>
    <row r="6" customFormat="false" ht="17.15" hidden="false" customHeight="false" outlineLevel="0" collapsed="false">
      <c r="A6" s="3" t="s">
        <v>17</v>
      </c>
      <c r="B6" s="4"/>
      <c r="C6" s="4"/>
      <c r="D6" s="4"/>
      <c r="E6" s="4"/>
      <c r="F6" s="4"/>
      <c r="G6" s="4"/>
      <c r="I6" s="5" t="s">
        <v>11</v>
      </c>
      <c r="J6" s="6" t="s">
        <v>18</v>
      </c>
    </row>
    <row r="7" customFormat="false" ht="17.15" hidden="false" customHeight="false" outlineLevel="0" collapsed="false">
      <c r="A7" s="3" t="s">
        <v>19</v>
      </c>
      <c r="B7" s="4"/>
      <c r="C7" s="4"/>
      <c r="D7" s="4"/>
      <c r="E7" s="4"/>
      <c r="F7" s="4"/>
      <c r="G7" s="4"/>
      <c r="I7" s="5" t="s">
        <v>11</v>
      </c>
      <c r="J7" s="7" t="s">
        <v>20</v>
      </c>
    </row>
    <row r="8" customFormat="false" ht="17.15" hidden="false" customHeight="false" outlineLevel="0" collapsed="false">
      <c r="A8" s="3" t="s">
        <v>21</v>
      </c>
      <c r="B8" s="4"/>
      <c r="C8" s="4"/>
      <c r="D8" s="4"/>
      <c r="E8" s="4"/>
      <c r="F8" s="4"/>
      <c r="G8" s="4"/>
      <c r="I8" s="5" t="s">
        <v>11</v>
      </c>
      <c r="J8" s="7" t="s">
        <v>22</v>
      </c>
    </row>
    <row r="9" customFormat="false" ht="17.15" hidden="false" customHeight="false" outlineLevel="0" collapsed="false">
      <c r="A9" s="3" t="s">
        <v>23</v>
      </c>
      <c r="B9" s="4"/>
      <c r="C9" s="4"/>
      <c r="D9" s="4"/>
      <c r="E9" s="4"/>
      <c r="F9" s="4"/>
      <c r="G9" s="4"/>
      <c r="I9" s="5" t="s">
        <v>24</v>
      </c>
    </row>
    <row r="10" customFormat="false" ht="17.15" hidden="false" customHeight="false" outlineLevel="0" collapsed="false">
      <c r="A10" s="3" t="s">
        <v>25</v>
      </c>
      <c r="B10" s="4"/>
      <c r="C10" s="4"/>
      <c r="D10" s="4"/>
      <c r="E10" s="4"/>
      <c r="F10" s="4"/>
      <c r="G10" s="4"/>
      <c r="I10" s="5" t="s">
        <v>24</v>
      </c>
      <c r="J10" s="6" t="s">
        <v>26</v>
      </c>
    </row>
    <row r="11" customFormat="false" ht="17.15" hidden="false" customHeight="false" outlineLevel="0" collapsed="false">
      <c r="A11" s="3" t="s">
        <v>27</v>
      </c>
      <c r="B11" s="4"/>
      <c r="C11" s="4"/>
      <c r="D11" s="4"/>
      <c r="E11" s="4"/>
      <c r="F11" s="4"/>
      <c r="G11" s="4"/>
      <c r="I11" s="5" t="s">
        <v>24</v>
      </c>
    </row>
    <row r="12" customFormat="false" ht="17.15" hidden="false" customHeight="false" outlineLevel="0" collapsed="false">
      <c r="A12" s="3" t="s">
        <v>28</v>
      </c>
      <c r="B12" s="4"/>
      <c r="C12" s="4"/>
      <c r="D12" s="4"/>
      <c r="E12" s="4"/>
      <c r="F12" s="4"/>
      <c r="G12" s="4"/>
      <c r="I12" s="5" t="s">
        <v>24</v>
      </c>
    </row>
    <row r="13" customFormat="false" ht="17.15" hidden="false" customHeight="false" outlineLevel="0" collapsed="false">
      <c r="A13" s="3" t="s">
        <v>29</v>
      </c>
      <c r="B13" s="4"/>
      <c r="C13" s="4"/>
      <c r="D13" s="4"/>
      <c r="E13" s="4"/>
      <c r="F13" s="4"/>
      <c r="G13" s="4"/>
      <c r="I13" s="5" t="s">
        <v>24</v>
      </c>
      <c r="J13" s="6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6" min="5" style="0" width="9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9"/>
  </cols>
  <sheetData>
    <row r="1" customFormat="false" ht="32.8" hidden="false" customHeight="false" outlineLevel="0" collapsed="false">
      <c r="A1" s="1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1" t="s">
        <v>37</v>
      </c>
      <c r="H1" s="2" t="s">
        <v>38</v>
      </c>
      <c r="I1" s="1" t="s">
        <v>39</v>
      </c>
      <c r="J1" s="1" t="s">
        <v>40</v>
      </c>
    </row>
    <row r="2" customFormat="false" ht="15" hidden="false" customHeight="false" outlineLevel="0" collapsed="false">
      <c r="A2" s="0" t="str">
        <f aca="false">手入力_フォワード!A2</f>
        <v>2016-09</v>
      </c>
      <c r="B2" s="0" t="n">
        <f aca="false">手入力_フォワード!C2</f>
        <v>0</v>
      </c>
      <c r="C2" s="0" t="n">
        <f aca="false">手入力_フォワード!D2</f>
        <v>0</v>
      </c>
      <c r="D2" s="0" t="str">
        <f aca="false">IF(OR(B2="",C2=""),"",B2+C2/100)</f>
        <v/>
      </c>
      <c r="E2" s="0" t="n">
        <f aca="false">手入力_フォワード!F2</f>
        <v>0</v>
      </c>
      <c r="F2" s="0" t="n">
        <f aca="false">手入力_フォワード!G2</f>
        <v>0</v>
      </c>
      <c r="G2" s="0" t="str">
        <f aca="false">IF(OR(D2="",B2=""),"",F2+ (D2/B2-1)*400)</f>
        <v/>
      </c>
      <c r="H2" s="0" t="str">
        <f aca="false">IF(E2="","",E2-F2)</f>
        <v/>
      </c>
      <c r="I2" s="0" t="str">
        <f aca="false">IF(OR(G2="",E2=""),"",(G2-E2)*100)</f>
        <v/>
      </c>
      <c r="J2" s="0" t="str">
        <f aca="false">IF(I2="","",IF(I2&lt;=-200,"危機",IF(I2&lt;=-80,"ストレス","")))</f>
        <v/>
      </c>
    </row>
    <row r="3" customFormat="false" ht="15" hidden="false" customHeight="false" outlineLevel="0" collapsed="false">
      <c r="A3" s="0" t="str">
        <f aca="false">手入力_フォワード!A3</f>
        <v>2016-10</v>
      </c>
      <c r="B3" s="0" t="n">
        <f aca="false">手入力_フォワード!C3</f>
        <v>0</v>
      </c>
      <c r="C3" s="0" t="n">
        <f aca="false">手入力_フォワード!D3</f>
        <v>0</v>
      </c>
      <c r="D3" s="0" t="str">
        <f aca="false">IF(OR(B3="",C3=""),"",B3+C3/100)</f>
        <v/>
      </c>
      <c r="E3" s="0" t="n">
        <f aca="false">手入力_フォワード!F3</f>
        <v>0</v>
      </c>
      <c r="F3" s="0" t="n">
        <f aca="false">手入力_フォワード!G3</f>
        <v>0</v>
      </c>
      <c r="G3" s="0" t="str">
        <f aca="false">IF(OR(D3="",B3=""),"",F3+ (D3/B3-1)*400)</f>
        <v/>
      </c>
      <c r="H3" s="0" t="str">
        <f aca="false">IF(E3="","",E3-F3)</f>
        <v/>
      </c>
      <c r="I3" s="0" t="str">
        <f aca="false">IF(OR(G3="",E3=""),"",(G3-E3)*100)</f>
        <v/>
      </c>
      <c r="J3" s="0" t="str">
        <f aca="false">IF(I3="","",IF(I3&lt;=-200,"危機",IF(I3&lt;=-80,"ストレス","")))</f>
        <v/>
      </c>
    </row>
    <row r="4" customFormat="false" ht="15" hidden="false" customHeight="false" outlineLevel="0" collapsed="false">
      <c r="A4" s="0" t="str">
        <f aca="false">手入力_フォワード!A4</f>
        <v>2016-11</v>
      </c>
      <c r="B4" s="0" t="n">
        <f aca="false">手入力_フォワード!C4</f>
        <v>0</v>
      </c>
      <c r="C4" s="0" t="n">
        <f aca="false">手入力_フォワード!D4</f>
        <v>0</v>
      </c>
      <c r="D4" s="0" t="str">
        <f aca="false">IF(OR(B4="",C4=""),"",B4+C4/100)</f>
        <v/>
      </c>
      <c r="E4" s="0" t="n">
        <f aca="false">手入力_フォワード!F4</f>
        <v>0</v>
      </c>
      <c r="F4" s="0" t="n">
        <f aca="false">手入力_フォワード!G4</f>
        <v>0</v>
      </c>
      <c r="G4" s="0" t="str">
        <f aca="false">IF(OR(D4="",B4=""),"",F4+ (D4/B4-1)*400)</f>
        <v/>
      </c>
      <c r="H4" s="0" t="str">
        <f aca="false">IF(E4="","",E4-F4)</f>
        <v/>
      </c>
      <c r="I4" s="0" t="str">
        <f aca="false">IF(OR(G4="",E4=""),"",(G4-E4)*100)</f>
        <v/>
      </c>
      <c r="J4" s="0" t="str">
        <f aca="false">IF(I4="","",IF(I4&lt;=-200,"危機",IF(I4&lt;=-80,"ストレス","")))</f>
        <v/>
      </c>
    </row>
    <row r="5" customFormat="false" ht="15" hidden="false" customHeight="false" outlineLevel="0" collapsed="false">
      <c r="A5" s="0" t="str">
        <f aca="false">手入力_フォワード!A5</f>
        <v>2016-12</v>
      </c>
      <c r="B5" s="0" t="n">
        <f aca="false">手入力_フォワード!C5</f>
        <v>0</v>
      </c>
      <c r="C5" s="0" t="n">
        <f aca="false">手入力_フォワード!D5</f>
        <v>0</v>
      </c>
      <c r="D5" s="0" t="str">
        <f aca="false">IF(OR(B5="",C5=""),"",B5+C5/100)</f>
        <v/>
      </c>
      <c r="E5" s="0" t="n">
        <f aca="false">手入力_フォワード!F5</f>
        <v>0</v>
      </c>
      <c r="F5" s="0" t="n">
        <f aca="false">手入力_フォワード!G5</f>
        <v>0</v>
      </c>
      <c r="G5" s="0" t="str">
        <f aca="false">IF(OR(D5="",B5=""),"",F5+ (D5/B5-1)*400)</f>
        <v/>
      </c>
      <c r="H5" s="0" t="str">
        <f aca="false">IF(E5="","",E5-F5)</f>
        <v/>
      </c>
      <c r="I5" s="0" t="str">
        <f aca="false">IF(OR(G5="",E5=""),"",(G5-E5)*100)</f>
        <v/>
      </c>
      <c r="J5" s="0" t="str">
        <f aca="false">IF(I5="","",IF(I5&lt;=-200,"危機",IF(I5&lt;=-80,"ストレス","")))</f>
        <v/>
      </c>
    </row>
    <row r="6" customFormat="false" ht="15" hidden="false" customHeight="false" outlineLevel="0" collapsed="false">
      <c r="A6" s="0" t="str">
        <f aca="false">手入力_フォワード!A6</f>
        <v>2018-12</v>
      </c>
      <c r="B6" s="0" t="n">
        <f aca="false">手入力_フォワード!C6</f>
        <v>0</v>
      </c>
      <c r="C6" s="0" t="n">
        <f aca="false">手入力_フォワード!D6</f>
        <v>0</v>
      </c>
      <c r="D6" s="0" t="str">
        <f aca="false">IF(OR(B6="",C6=""),"",B6+C6/100)</f>
        <v/>
      </c>
      <c r="E6" s="0" t="n">
        <f aca="false">手入力_フォワード!F6</f>
        <v>0</v>
      </c>
      <c r="F6" s="0" t="n">
        <f aca="false">手入力_フォワード!G6</f>
        <v>0</v>
      </c>
      <c r="G6" s="0" t="str">
        <f aca="false">IF(OR(D6="",B6=""),"",F6+ (D6/B6-1)*400)</f>
        <v/>
      </c>
      <c r="H6" s="0" t="str">
        <f aca="false">IF(E6="","",E6-F6)</f>
        <v/>
      </c>
      <c r="I6" s="0" t="str">
        <f aca="false">IF(OR(G6="",E6=""),"",(G6-E6)*100)</f>
        <v/>
      </c>
      <c r="J6" s="0" t="str">
        <f aca="false">IF(I6="","",IF(I6&lt;=-200,"危機",IF(I6&lt;=-80,"ストレス","")))</f>
        <v/>
      </c>
    </row>
    <row r="7" customFormat="false" ht="15" hidden="false" customHeight="false" outlineLevel="0" collapsed="false">
      <c r="A7" s="0" t="str">
        <f aca="false">手入力_フォワード!A7</f>
        <v>2020-03</v>
      </c>
      <c r="B7" s="0" t="n">
        <f aca="false">手入力_フォワード!C7</f>
        <v>0</v>
      </c>
      <c r="C7" s="0" t="n">
        <f aca="false">手入力_フォワード!D7</f>
        <v>0</v>
      </c>
      <c r="D7" s="0" t="str">
        <f aca="false">IF(OR(B7="",C7=""),"",B7+C7/100)</f>
        <v/>
      </c>
      <c r="E7" s="0" t="n">
        <f aca="false">手入力_フォワード!F7</f>
        <v>0</v>
      </c>
      <c r="F7" s="0" t="n">
        <f aca="false">手入力_フォワード!G7</f>
        <v>0</v>
      </c>
      <c r="G7" s="0" t="str">
        <f aca="false">IF(OR(D7="",B7=""),"",F7+ (D7/B7-1)*400)</f>
        <v/>
      </c>
      <c r="H7" s="0" t="str">
        <f aca="false">IF(E7="","",E7-F7)</f>
        <v/>
      </c>
      <c r="I7" s="0" t="str">
        <f aca="false">IF(OR(G7="",E7=""),"",(G7-E7)*100)</f>
        <v/>
      </c>
      <c r="J7" s="0" t="str">
        <f aca="false">IF(I7="","",IF(I7&lt;=-200,"危機",IF(I7&lt;=-80,"ストレス","")))</f>
        <v/>
      </c>
    </row>
    <row r="8" customFormat="false" ht="15" hidden="false" customHeight="false" outlineLevel="0" collapsed="false">
      <c r="A8" s="0" t="str">
        <f aca="false">手入力_フォワード!A8</f>
        <v>2020-04</v>
      </c>
      <c r="B8" s="0" t="n">
        <f aca="false">手入力_フォワード!C8</f>
        <v>0</v>
      </c>
      <c r="C8" s="0" t="n">
        <f aca="false">手入力_フォワード!D8</f>
        <v>0</v>
      </c>
      <c r="D8" s="0" t="str">
        <f aca="false">IF(OR(B8="",C8=""),"",B8+C8/100)</f>
        <v/>
      </c>
      <c r="E8" s="0" t="n">
        <f aca="false">手入力_フォワード!F8</f>
        <v>0</v>
      </c>
      <c r="F8" s="0" t="n">
        <f aca="false">手入力_フォワード!G8</f>
        <v>0</v>
      </c>
      <c r="G8" s="0" t="str">
        <f aca="false">IF(OR(D8="",B8=""),"",F8+ (D8/B8-1)*400)</f>
        <v/>
      </c>
      <c r="H8" s="0" t="str">
        <f aca="false">IF(E8="","",E8-F8)</f>
        <v/>
      </c>
      <c r="I8" s="0" t="str">
        <f aca="false">IF(OR(G8="",E8=""),"",(G8-E8)*100)</f>
        <v/>
      </c>
      <c r="J8" s="0" t="str">
        <f aca="false">IF(I8="","",IF(I8&lt;=-200,"危機",IF(I8&lt;=-80,"ストレス","")))</f>
        <v/>
      </c>
    </row>
    <row r="9" customFormat="false" ht="15" hidden="false" customHeight="false" outlineLevel="0" collapsed="false">
      <c r="A9" s="0" t="str">
        <f aca="false">手入力_フォワード!A9</f>
        <v>2022-09</v>
      </c>
      <c r="B9" s="0" t="n">
        <f aca="false">手入力_フォワード!C9</f>
        <v>0</v>
      </c>
      <c r="C9" s="0" t="n">
        <f aca="false">手入力_フォワード!D9</f>
        <v>0</v>
      </c>
      <c r="D9" s="0" t="str">
        <f aca="false">IF(OR(B9="",C9=""),"",B9+C9/100)</f>
        <v/>
      </c>
      <c r="E9" s="0" t="n">
        <f aca="false">手入力_フォワード!F9</f>
        <v>0</v>
      </c>
      <c r="F9" s="0" t="n">
        <f aca="false">手入力_フォワード!G9</f>
        <v>0</v>
      </c>
      <c r="G9" s="0" t="str">
        <f aca="false">IF(OR(D9="",B9=""),"",F9+ (D9/B9-1)*400)</f>
        <v/>
      </c>
      <c r="H9" s="0" t="str">
        <f aca="false">IF(E9="","",E9-F9)</f>
        <v/>
      </c>
      <c r="I9" s="0" t="str">
        <f aca="false">IF(OR(G9="",E9=""),"",(G9-E9)*100)</f>
        <v/>
      </c>
      <c r="J9" s="0" t="str">
        <f aca="false">IF(I9="","",IF(I9&lt;=-200,"危機",IF(I9&lt;=-80,"ストレス","")))</f>
        <v/>
      </c>
    </row>
    <row r="10" customFormat="false" ht="15" hidden="false" customHeight="false" outlineLevel="0" collapsed="false">
      <c r="A10" s="0" t="str">
        <f aca="false">手入力_フォワード!A10</f>
        <v>2022-10</v>
      </c>
      <c r="B10" s="0" t="n">
        <f aca="false">手入力_フォワード!C10</f>
        <v>0</v>
      </c>
      <c r="C10" s="0" t="n">
        <f aca="false">手入力_フォワード!D10</f>
        <v>0</v>
      </c>
      <c r="D10" s="0" t="str">
        <f aca="false">IF(OR(B10="",C10=""),"",B10+C10/100)</f>
        <v/>
      </c>
      <c r="E10" s="0" t="n">
        <f aca="false">手入力_フォワード!F10</f>
        <v>0</v>
      </c>
      <c r="F10" s="0" t="n">
        <f aca="false">手入力_フォワード!G10</f>
        <v>0</v>
      </c>
      <c r="G10" s="0" t="str">
        <f aca="false">IF(OR(D10="",B10=""),"",F10+ (D10/B10-1)*400)</f>
        <v/>
      </c>
      <c r="H10" s="0" t="str">
        <f aca="false">IF(E10="","",E10-F10)</f>
        <v/>
      </c>
      <c r="I10" s="0" t="str">
        <f aca="false">IF(OR(G10="",E10=""),"",(G10-E10)*100)</f>
        <v/>
      </c>
      <c r="J10" s="0" t="str">
        <f aca="false">IF(I10="","",IF(I10&lt;=-200,"危機",IF(I10&lt;=-80,"ストレス","")))</f>
        <v/>
      </c>
    </row>
    <row r="11" customFormat="false" ht="15" hidden="false" customHeight="false" outlineLevel="0" collapsed="false">
      <c r="A11" s="0" t="str">
        <f aca="false">手入力_フォワード!A11</f>
        <v>2022-11</v>
      </c>
      <c r="B11" s="0" t="n">
        <f aca="false">手入力_フォワード!C11</f>
        <v>0</v>
      </c>
      <c r="C11" s="0" t="n">
        <f aca="false">手入力_フォワード!D11</f>
        <v>0</v>
      </c>
      <c r="D11" s="0" t="str">
        <f aca="false">IF(OR(B11="",C11=""),"",B11+C11/100)</f>
        <v/>
      </c>
      <c r="E11" s="0" t="n">
        <f aca="false">手入力_フォワード!F11</f>
        <v>0</v>
      </c>
      <c r="F11" s="0" t="n">
        <f aca="false">手入力_フォワード!G11</f>
        <v>0</v>
      </c>
      <c r="G11" s="0" t="str">
        <f aca="false">IF(OR(D11="",B11=""),"",F11+ (D11/B11-1)*400)</f>
        <v/>
      </c>
      <c r="H11" s="0" t="str">
        <f aca="false">IF(E11="","",E11-F11)</f>
        <v/>
      </c>
      <c r="I11" s="0" t="str">
        <f aca="false">IF(OR(G11="",E11=""),"",(G11-E11)*100)</f>
        <v/>
      </c>
      <c r="J11" s="0" t="str">
        <f aca="false">IF(I11="","",IF(I11&lt;=-200,"危機",IF(I11&lt;=-80,"ストレス","")))</f>
        <v/>
      </c>
    </row>
    <row r="12" customFormat="false" ht="15" hidden="false" customHeight="false" outlineLevel="0" collapsed="false">
      <c r="A12" s="0" t="str">
        <f aca="false">手入力_フォワード!A12</f>
        <v>2024-07</v>
      </c>
      <c r="B12" s="0" t="n">
        <f aca="false">手入力_フォワード!C12</f>
        <v>0</v>
      </c>
      <c r="C12" s="0" t="n">
        <f aca="false">手入力_フォワード!D12</f>
        <v>0</v>
      </c>
      <c r="D12" s="0" t="str">
        <f aca="false">IF(OR(B12="",C12=""),"",B12+C12/100)</f>
        <v/>
      </c>
      <c r="E12" s="0" t="n">
        <f aca="false">手入力_フォワード!F12</f>
        <v>0</v>
      </c>
      <c r="F12" s="0" t="n">
        <f aca="false">手入力_フォワード!G12</f>
        <v>0</v>
      </c>
      <c r="G12" s="0" t="str">
        <f aca="false">IF(OR(D12="",B12=""),"",F12+ (D12/B12-1)*400)</f>
        <v/>
      </c>
      <c r="H12" s="0" t="str">
        <f aca="false">IF(E12="","",E12-F12)</f>
        <v/>
      </c>
      <c r="I12" s="0" t="str">
        <f aca="false">IF(OR(G12="",E12=""),"",(G12-E12)*100)</f>
        <v/>
      </c>
      <c r="J12" s="0" t="str">
        <f aca="false">IF(I12="","",IF(I12&lt;=-200,"危機",IF(I12&lt;=-80,"ストレス","")))</f>
        <v/>
      </c>
    </row>
    <row r="13" customFormat="false" ht="15" hidden="false" customHeight="false" outlineLevel="0" collapsed="false">
      <c r="A13" s="0" t="str">
        <f aca="false">手入力_フォワード!A13</f>
        <v>2024-08</v>
      </c>
      <c r="B13" s="0" t="n">
        <f aca="false">手入力_フォワード!C13</f>
        <v>0</v>
      </c>
      <c r="C13" s="0" t="n">
        <f aca="false">手入力_フォワード!D13</f>
        <v>0</v>
      </c>
      <c r="D13" s="0" t="str">
        <f aca="false">IF(OR(B13="",C13=""),"",B13+C13/100)</f>
        <v/>
      </c>
      <c r="E13" s="0" t="n">
        <f aca="false">手入力_フォワード!F13</f>
        <v>0</v>
      </c>
      <c r="F13" s="0" t="n">
        <f aca="false">手入力_フォワード!G13</f>
        <v>0</v>
      </c>
      <c r="G13" s="0" t="str">
        <f aca="false">IF(OR(D13="",B13=""),"",F13+ (D13/B13-1)*400)</f>
        <v/>
      </c>
      <c r="H13" s="0" t="str">
        <f aca="false">IF(E13="","",E13-F13)</f>
        <v/>
      </c>
      <c r="I13" s="0" t="str">
        <f aca="false">IF(OR(G13="",E13=""),"",(G13-E13)*100)</f>
        <v/>
      </c>
      <c r="J13" s="0" t="str">
        <f aca="false">IF(I13="","",IF(I13&lt;=-200,"危機",IF(I13&lt;=-80,"ストレス","")))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8"/>
  </cols>
  <sheetData>
    <row r="1" customFormat="false" ht="38.8" hidden="false" customHeight="false" outlineLevel="0" collapsed="false">
      <c r="A1" s="8" t="s">
        <v>41</v>
      </c>
      <c r="B1" s="8"/>
    </row>
    <row r="2" customFormat="false" ht="15" hidden="false" customHeight="false" outlineLevel="0" collapsed="false">
      <c r="A2" s="9"/>
      <c r="B2" s="9"/>
    </row>
    <row r="3" customFormat="false" ht="17.15" hidden="false" customHeight="false" outlineLevel="0" collapsed="false">
      <c r="A3" s="10" t="s">
        <v>42</v>
      </c>
      <c r="B3" s="10" t="s">
        <v>43</v>
      </c>
    </row>
    <row r="4" customFormat="false" ht="44" hidden="false" customHeight="false" outlineLevel="0" collapsed="false">
      <c r="A4" s="9" t="s">
        <v>44</v>
      </c>
      <c r="B4" s="9" t="s">
        <v>45</v>
      </c>
    </row>
    <row r="5" customFormat="false" ht="15" hidden="false" customHeight="false" outlineLevel="0" collapsed="false">
      <c r="A5" s="9" t="s">
        <v>46</v>
      </c>
      <c r="B5" s="11" t="s">
        <v>47</v>
      </c>
    </row>
    <row r="6" customFormat="false" ht="15" hidden="false" customHeight="false" outlineLevel="0" collapsed="false">
      <c r="A6" s="9" t="s">
        <v>48</v>
      </c>
      <c r="B6" s="9" t="s">
        <v>49</v>
      </c>
    </row>
    <row r="7" customFormat="false" ht="15" hidden="false" customHeight="false" outlineLevel="0" collapsed="false">
      <c r="A7" s="9" t="s">
        <v>50</v>
      </c>
      <c r="B7" s="11" t="s">
        <v>51</v>
      </c>
    </row>
    <row r="8" customFormat="false" ht="15" hidden="false" customHeight="false" outlineLevel="0" collapsed="false">
      <c r="A8" s="9" t="s">
        <v>52</v>
      </c>
      <c r="B8" s="11" t="s">
        <v>53</v>
      </c>
    </row>
    <row r="9" customFormat="false" ht="15" hidden="false" customHeight="false" outlineLevel="0" collapsed="false">
      <c r="A9" s="9" t="s">
        <v>54</v>
      </c>
      <c r="B9" s="11" t="s">
        <v>55</v>
      </c>
    </row>
    <row r="10" customFormat="false" ht="15" hidden="false" customHeight="false" outlineLevel="0" collapsed="false">
      <c r="A10" s="9" t="s">
        <v>56</v>
      </c>
      <c r="B10" s="11" t="s">
        <v>57</v>
      </c>
    </row>
    <row r="11" customFormat="false" ht="15" hidden="false" customHeight="false" outlineLevel="0" collapsed="false">
      <c r="A11" s="11"/>
      <c r="B11" s="11"/>
    </row>
    <row r="12" customFormat="false" ht="15" hidden="false" customHeight="false" outlineLevel="0" collapsed="false">
      <c r="A12" s="11" t="s">
        <v>58</v>
      </c>
      <c r="B12" s="9" t="s">
        <v>59</v>
      </c>
    </row>
    <row r="13" customFormat="false" ht="15" hidden="false" customHeight="false" outlineLevel="0" collapsed="false">
      <c r="A13" s="11" t="s">
        <v>60</v>
      </c>
      <c r="B13" s="9" t="s">
        <v>61</v>
      </c>
    </row>
    <row r="14" customFormat="false" ht="29.85" hidden="false" customHeight="false" outlineLevel="0" collapsed="false">
      <c r="A14" s="11" t="s">
        <v>62</v>
      </c>
      <c r="B14" s="11" t="s">
        <v>63</v>
      </c>
    </row>
    <row r="15" customFormat="false" ht="15" hidden="false" customHeight="false" outlineLevel="0" collapsed="false">
      <c r="A15" s="11" t="s">
        <v>64</v>
      </c>
      <c r="B15" s="11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2026-06-01T03:13:54Z</dcterms:created>
  <dc:creator>openpyxl</dc:creator>
  <dc:description/>
  <dc:language>en-US</dc:language>
  <cp:lastModifiedBy/>
  <dcterms:modified xsi:type="dcterms:W3CDTF">2026-06-01T03:13:54Z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